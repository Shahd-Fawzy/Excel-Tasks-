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Instructions" sheetId="2" state="visible" r:id="rId4"/>
    <sheet name="RawData" sheetId="3" state="hidden" r:id="rId5"/>
    <sheet name="Metadata" sheetId="4" state="visible" r:id="rId6"/>
    <sheet name="Cleaning_Log" sheetId="5" state="visible" r:id="rId7"/>
    <sheet name="PowerQuery_MCode" sheetId="6" state="hidden" r:id="rId8"/>
    <sheet name="CleanedData" sheetId="7" state="visible" r:id="rId9"/>
    <sheet name="PivotTables" sheetId="8" state="visible" r:id="rId10"/>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Rows with blank/unparseable dates were REMOVED; 3 rows dated '2026-08-21' were corrected to 2024 (typo). See Cleaning_Log sheet, step 2.</t>
        </r>
      </text>
    </comment>
    <comment ref="C1" authorId="0">
      <text>
        <r>
          <rPr>
            <sz val="10"/>
            <rFont val="Arial"/>
            <family val="2"/>
          </rPr>
          <t xml:space="preserve">Missing values (14) filled with 'Unknown' — field not used in required PivotTables. See Cleaning_Log sheet, step 15.</t>
        </r>
      </text>
    </comment>
    <comment ref="D1" authorId="0">
      <text>
        <r>
          <rPr>
            <sz val="10"/>
            <rFont val="Arial"/>
            <family val="2"/>
          </rPr>
          <t xml:space="preserve">Missing values (10) filled with 'Unknown' rather than deleted — the sale itself (Qty x Price) is still valid revenue. See Cleaning_Log sheet, step 12.</t>
        </r>
      </text>
    </comment>
    <comment ref="E1" authorId="0">
      <text>
        <r>
          <rPr>
            <sz val="10"/>
            <rFont val="Arial"/>
            <family val="2"/>
          </rPr>
          <t xml:space="preserve">Missing values (6) filled with 'Unknown' to preserve the valid sale. See Cleaning_Log sheet, step 13.</t>
        </r>
      </text>
    </comment>
    <comment ref="G1" authorId="0">
      <text>
        <r>
          <rPr>
            <sz val="10"/>
            <rFont val="Arial"/>
            <family val="2"/>
          </rPr>
          <t xml:space="preserve">Rows missing Quantity, or with Quantity &lt;=0 / &gt;=9999, were REMOVED (can't estimate units sold). See Cleaning_Log sheet, steps 4-5.</t>
        </r>
      </text>
    </comment>
    <comment ref="H1" authorId="0">
      <text>
        <r>
          <rPr>
            <sz val="10"/>
            <rFont val="Arial"/>
            <family val="2"/>
          </rPr>
          <t xml:space="preserve">Rows missing UnitPrice, or with UnitPrice &lt;=0, were REMOVED (can't estimate a price). Text values with '$'/'EGP'/',' were cleaned to numbers. See Cleaning_Log sheet, steps 4,6,7.</t>
        </r>
      </text>
    </comment>
    <comment ref="I1" authorId="0">
      <text>
        <r>
          <rPr>
            <sz val="10"/>
            <rFont val="Arial"/>
            <family val="2"/>
          </rPr>
          <t xml:space="preserve">Missing values (9) filled with 'Unknown' to preserve the valid sale. See Cleaning_Log sheet, step 14.</t>
        </r>
      </text>
    </comment>
    <comment ref="K1" authorId="0">
      <text>
        <r>
          <rPr>
            <sz val="10"/>
            <rFont val="Arial"/>
            <family val="2"/>
          </rPr>
          <t xml:space="preserve">Missing values (13) filled with 'Unknown' — field not used in required PivotTables. See Cleaning_Log sheet, step 16.</t>
        </r>
      </text>
    </comment>
  </commentList>
</comments>
</file>

<file path=xl/sharedStrings.xml><?xml version="1.0" encoding="utf-8"?>
<sst xmlns="http://schemas.openxmlformats.org/spreadsheetml/2006/main" count="4382" uniqueCount="509">
  <si>
    <t xml:space="preserve">Retail Sales Dashboard — FY 2024</t>
  </si>
  <si>
    <t xml:space="preserve">Data source: CleanedData (266 orders, Jan–Dec 2024)  |  Slicers: City · Product Category · Payment Method — add via Insert ▸ Slicer once PivotTables are built from the Data Model (see Instructions sheet)</t>
  </si>
  <si>
    <t xml:space="preserve">🔻 City Slicer  (insert in Excel — see Instructions)</t>
  </si>
  <si>
    <t xml:space="preserve">🔻 Product Category Slicer  (insert in Excel — see Instructions)</t>
  </si>
  <si>
    <t xml:space="preserve">🔻 Payment Method Slicer  (insert in Excel — see Instructions)</t>
  </si>
  <si>
    <t xml:space="preserve">How to Finish This in Excel (Power Query → Data Model → PivotTables → Slicers)</t>
  </si>
  <si>
    <t xml:space="preserve">This workbook already contains everything that can be pre-built outside Excel's live engine: the cleaned data, working formula-driven pivot summaries, and real charts. Power Query's own query object, the Data Model, native PivotTables and Slicers only exist once built inside Excel's UI — follow the numbered steps below (10–15 minutes) to turn this into the exact deliverable the task asks for.</t>
  </si>
  <si>
    <t xml:space="preserve">1. Build the Power Query</t>
  </si>
  <si>
    <t xml:space="preserve">Unhide the RawData sheet (right-click any tab ▸ Unhide). Go to Data ▸ Get Data ▸ From Other Sources ▸ From Table/Range, select the RawData sheet, and open the Power Query Editor. Home ▸ Advanced Editor ▸ select all ▸ paste in the code from the PowerQuery_MCode sheet ▸ Done. You'll see all 12 named steps in Applied Steps, matching Cleaning_Log.</t>
  </si>
  <si>
    <t xml:space="preserve">2. Load to the Data Model</t>
  </si>
  <si>
    <t xml:space="preserve">Home ▸ Close &amp; Load To… ▸ choose 'Only Create Connection' and tick 'Add this data to the Data Model' ▸ Load.</t>
  </si>
  <si>
    <t xml:space="preserve">3. Build the 4 PivotTables from the Data Model</t>
  </si>
  <si>
    <t xml:space="preserve">Insert ▸ PivotTable ▸ 'Use this workbook's Data Model'. Build each one on a new sheet using the fields listed in the task brief (Rows/Values shown in the PivotTables sheet of this workbook as a reference for the numbers you should land on):
  • Sales by Category &amp; City — Rows: ProductCategory then City, Values: Sum of Total Sales
  • Monthly Sales Trend — Rows: OrderDate grouped by Month, Values: Sum of Total Sales
  • Payment Method Breakdown — Rows: PaymentMethod, Values: Count of Orders and Sum of Total Sales
  • Top 10 Products — Rows: ProductName, filtered to Top 10 by Sum of Total Sales</t>
  </si>
  <si>
    <t xml:space="preserve">4. Insert the 4 PivotCharts</t>
  </si>
  <si>
    <t xml:space="preserve">Select each PivotTable ▸ Insert ▸ the matching chart type (Clustered Column / Line / Pie / Bar). The charts already on the Dashboard sheet show you the exact look and data to match.</t>
  </si>
  <si>
    <t xml:space="preserve">5. Add 3 slicers with Report Connections</t>
  </si>
  <si>
    <t xml:space="preserve">Select any PivotTable ▸ PivotTable Analyze ▸ Insert Slicer ▸ tick City, Product Category, Payment Method. Right-click each inserted slicer ▸ Report Connections ▸ tick all 4 PivotTables so every slicer filters every chart.</t>
  </si>
  <si>
    <t xml:space="preserve">6. Finish the Dashboard sheet</t>
  </si>
  <si>
    <t xml:space="preserve">Move/replace the 4 native PivotCharts and 3 slicers onto the Dashboard sheet in place of the placeholder boxes and static charts already laid out there. Keep the title bar, apply one consistent chart color theme, and confirm nothing overlaps or scrolls off one screen.</t>
  </si>
  <si>
    <t xml:space="preserve">7. Hide staging sheets</t>
  </si>
  <si>
    <t xml:space="preserve">Right-click RawData and PowerQuery_MCode ▸ Hide (already hidden in this file — keep them that way, or delete the static PivotTables sheet once your native PivotTables reproduce its numbers). Turn off gridlines on the Dashboard sheet (View ▸ Gridlines) if you rebuilt it on a fresh sheet.</t>
  </si>
  <si>
    <t xml:space="preserve">8. Save &amp; submit</t>
  </si>
  <si>
    <t xml:space="preserve">Save as yourname_DataAnalysisProject.xlsx per the task's deliverable naming.</t>
  </si>
  <si>
    <t xml:space="preserve">Why this workbook doesn't already contain native Power Query objects, a Data Model, or Slicers: those are live Excel-application features (an in-memory query engine, an xVelocity/Power Pivot model, and slicer cache objects) that only get created when Excel itself builds them — they can't be authored directly into the .xlsx file from the outside. Everything that CAN be pre-built — the cleaning logic, the M code, the correct pivot numbers, and the charts — is done for you above.</t>
  </si>
  <si>
    <t xml:space="preserve">OrderID</t>
  </si>
  <si>
    <t xml:space="preserve">OrderDate</t>
  </si>
  <si>
    <t xml:space="preserve">CustomerName</t>
  </si>
  <si>
    <t xml:space="preserve">City</t>
  </si>
  <si>
    <t xml:space="preserve">ProductCategory</t>
  </si>
  <si>
    <t xml:space="preserve">ProductName</t>
  </si>
  <si>
    <t xml:space="preserve">Quantity</t>
  </si>
  <si>
    <t xml:space="preserve">UnitPrice</t>
  </si>
  <si>
    <t xml:space="preserve">PaymentMethod</t>
  </si>
  <si>
    <t xml:space="preserve">Returned</t>
  </si>
  <si>
    <t xml:space="preserve">SalesRep</t>
  </si>
  <si>
    <t xml:space="preserve">Youssef Kamal</t>
  </si>
  <si>
    <t xml:space="preserve">Qena</t>
  </si>
  <si>
    <t xml:space="preserve">Clothing</t>
  </si>
  <si>
    <t xml:space="preserve">Dress</t>
  </si>
  <si>
    <t xml:space="preserve">Debit Card</t>
  </si>
  <si>
    <t xml:space="preserve">TRUE</t>
  </si>
  <si>
    <t xml:space="preserve">Mona Saeed</t>
  </si>
  <si>
    <t xml:space="preserve">Dina Ibrahim</t>
  </si>
  <si>
    <t xml:space="preserve">Giza</t>
  </si>
  <si>
    <t xml:space="preserve">toys</t>
  </si>
  <si>
    <t xml:space="preserve">Board Game</t>
  </si>
  <si>
    <t xml:space="preserve">Cash</t>
  </si>
  <si>
    <t xml:space="preserve">Youssef Omar</t>
  </si>
  <si>
    <t xml:space="preserve">Salma Aziz</t>
  </si>
  <si>
    <t xml:space="preserve">Mansoura</t>
  </si>
  <si>
    <t xml:space="preserve">Books</t>
  </si>
  <si>
    <t xml:space="preserve">Biography</t>
  </si>
  <si>
    <t xml:space="preserve">Credit Card</t>
  </si>
  <si>
    <t xml:space="preserve">Ahmed Hassan</t>
  </si>
  <si>
    <t xml:space="preserve">Aya Hassan</t>
  </si>
  <si>
    <t xml:space="preserve">Puzzle 1000pc</t>
  </si>
  <si>
    <t xml:space="preserve">CASH</t>
  </si>
  <si>
    <t xml:space="preserve">Y</t>
  </si>
  <si>
    <t xml:space="preserve">Laila Fathy</t>
  </si>
  <si>
    <t xml:space="preserve">Luxor</t>
  </si>
  <si>
    <t xml:space="preserve">Groceries</t>
  </si>
  <si>
    <t xml:space="preserve">Sugar 1kg</t>
  </si>
  <si>
    <t xml:space="preserve">true</t>
  </si>
  <si>
    <t xml:space="preserve">Nourhan Adly</t>
  </si>
  <si>
    <t xml:space="preserve">Nour Farouk</t>
  </si>
  <si>
    <t xml:space="preserve">Alexandria</t>
  </si>
  <si>
    <t xml:space="preserve">Toys</t>
  </si>
  <si>
    <t xml:space="preserve">RC Car</t>
  </si>
  <si>
    <t xml:space="preserve">Mobile Wallet</t>
  </si>
  <si>
    <t xml:space="preserve">1</t>
  </si>
  <si>
    <t xml:space="preserve">Ali Gomaa</t>
  </si>
  <si>
    <t xml:space="preserve">QENA</t>
  </si>
  <si>
    <t xml:space="preserve">Novel</t>
  </si>
  <si>
    <t xml:space="preserve">FALSE</t>
  </si>
  <si>
    <t xml:space="preserve">Tarek Nabil</t>
  </si>
  <si>
    <t xml:space="preserve">DC</t>
  </si>
  <si>
    <t xml:space="preserve">0</t>
  </si>
  <si>
    <t xml:space="preserve">Tanta</t>
  </si>
  <si>
    <t xml:space="preserve">Lego Set</t>
  </si>
  <si>
    <t xml:space="preserve">yes</t>
  </si>
  <si>
    <t xml:space="preserve">Karim Adel</t>
  </si>
  <si>
    <t xml:space="preserve">Laila Adel</t>
  </si>
  <si>
    <t xml:space="preserve">Cairo</t>
  </si>
  <si>
    <t xml:space="preserve">Electronics</t>
  </si>
  <si>
    <t xml:space="preserve">Tablet</t>
  </si>
  <si>
    <t xml:space="preserve">No</t>
  </si>
  <si>
    <t xml:space="preserve">Salma Ibrahim</t>
  </si>
  <si>
    <t xml:space="preserve">Mariam Aziz</t>
  </si>
  <si>
    <t xml:space="preserve">Action Figure</t>
  </si>
  <si>
    <t xml:space="preserve">no</t>
  </si>
  <si>
    <t xml:space="preserve">LUXOR</t>
  </si>
  <si>
    <t xml:space="preserve">Cooking Oil 1L</t>
  </si>
  <si>
    <t xml:space="preserve">Omar Gomaa</t>
  </si>
  <si>
    <t xml:space="preserve">Jacket</t>
  </si>
  <si>
    <t xml:space="preserve">YOUSSEF IBRAHIM</t>
  </si>
  <si>
    <t xml:space="preserve">Coffee Jar</t>
  </si>
  <si>
    <t xml:space="preserve">2,967.52</t>
  </si>
  <si>
    <t xml:space="preserve">Khaled Aziz</t>
  </si>
  <si>
    <t xml:space="preserve">Laila Kamal</t>
  </si>
  <si>
    <t xml:space="preserve">Textbook</t>
  </si>
  <si>
    <t xml:space="preserve">2,075.50</t>
  </si>
  <si>
    <t xml:space="preserve">Omar Ibrahim</t>
  </si>
  <si>
    <t xml:space="preserve">Furniture</t>
  </si>
  <si>
    <t xml:space="preserve">Office Chair</t>
  </si>
  <si>
    <t xml:space="preserve">false</t>
  </si>
  <si>
    <t xml:space="preserve">Mohamed Kamal</t>
  </si>
  <si>
    <t xml:space="preserve">Rice 5kg</t>
  </si>
  <si>
    <t xml:space="preserve">Tarek Fathy</t>
  </si>
  <si>
    <t xml:space="preserve">T-Shirt</t>
  </si>
  <si>
    <t xml:space="preserve">Ali Kamal</t>
  </si>
  <si>
    <t xml:space="preserve">Bookshelf</t>
  </si>
  <si>
    <t xml:space="preserve">Heba Mostafa</t>
  </si>
  <si>
    <t xml:space="preserve">Aswan</t>
  </si>
  <si>
    <t xml:space="preserve">Mona Kamal</t>
  </si>
  <si>
    <t xml:space="preserve">Karim Adly</t>
  </si>
  <si>
    <t xml:space="preserve">Yes</t>
  </si>
  <si>
    <t xml:space="preserve">Karim Omar</t>
  </si>
  <si>
    <t xml:space="preserve">Tea Box</t>
  </si>
  <si>
    <t xml:space="preserve">Hassan Omar</t>
  </si>
  <si>
    <t xml:space="preserve">Ali Adel</t>
  </si>
  <si>
    <t xml:space="preserve">furniture</t>
  </si>
  <si>
    <t xml:space="preserve">Dining Table</t>
  </si>
  <si>
    <t xml:space="preserve">N</t>
  </si>
  <si>
    <t xml:space="preserve">Omar Shafik</t>
  </si>
  <si>
    <t xml:space="preserve">Mariam Nabil</t>
  </si>
  <si>
    <t xml:space="preserve">Laila Nabil</t>
  </si>
  <si>
    <t xml:space="preserve">Mona Farouk</t>
  </si>
  <si>
    <t xml:space="preserve">Tarek Farouk</t>
  </si>
  <si>
    <t xml:space="preserve">Mariam Hassan</t>
  </si>
  <si>
    <t xml:space="preserve">Smartphone</t>
  </si>
  <si>
    <t xml:space="preserve">Dina Hassan</t>
  </si>
  <si>
    <t xml:space="preserve">2024/13/40</t>
  </si>
  <si>
    <t xml:space="preserve">Nour Nabil</t>
  </si>
  <si>
    <t xml:space="preserve">N/A</t>
  </si>
  <si>
    <t xml:space="preserve">Dina Adel</t>
  </si>
  <si>
    <t xml:space="preserve">Aya Gomaa</t>
  </si>
  <si>
    <t xml:space="preserve">Mariam Fathy</t>
  </si>
  <si>
    <t xml:space="preserve">CLOTHING</t>
  </si>
  <si>
    <t xml:space="preserve">Alexanderia</t>
  </si>
  <si>
    <t xml:space="preserve">Mariam Farouk</t>
  </si>
  <si>
    <t xml:space="preserve">Heba Shafik</t>
  </si>
  <si>
    <t xml:space="preserve">13/32/2024</t>
  </si>
  <si>
    <t xml:space="preserve">Aya Fathy</t>
  </si>
  <si>
    <t xml:space="preserve">Fatma Fathy</t>
  </si>
  <si>
    <t xml:space="preserve">Sofa</t>
  </si>
  <si>
    <t xml:space="preserve">hassan aziz</t>
  </si>
  <si>
    <t xml:space="preserve">Laptop</t>
  </si>
  <si>
    <t xml:space="preserve">Youssef Shafik</t>
  </si>
  <si>
    <t xml:space="preserve">clothing</t>
  </si>
  <si>
    <t xml:space="preserve">Dina Shafik</t>
  </si>
  <si>
    <t xml:space="preserve">Comic Book</t>
  </si>
  <si>
    <t xml:space="preserve">Bed Frame</t>
  </si>
  <si>
    <t xml:space="preserve">mobile wallet</t>
  </si>
  <si>
    <t xml:space="preserve">Sara Mostafa</t>
  </si>
  <si>
    <t xml:space="preserve">Youssef Mostafa</t>
  </si>
  <si>
    <t xml:space="preserve">Fatma Gomaa</t>
  </si>
  <si>
    <t xml:space="preserve">2993.15 EGP</t>
  </si>
  <si>
    <t xml:space="preserve">Nour Shafik</t>
  </si>
  <si>
    <t xml:space="preserve">Tarek Kamal</t>
  </si>
  <si>
    <t xml:space="preserve">Jeans</t>
  </si>
  <si>
    <t xml:space="preserve">Nour Kamal</t>
  </si>
  <si>
    <t xml:space="preserve">Karim Saeed</t>
  </si>
  <si>
    <t xml:space="preserve">Heba Ibrahim</t>
  </si>
  <si>
    <t xml:space="preserve">CREDIT CARD</t>
  </si>
  <si>
    <t xml:space="preserve">Headphones</t>
  </si>
  <si>
    <t xml:space="preserve">Omar Adly</t>
  </si>
  <si>
    <t xml:space="preserve">Salma Saeed</t>
  </si>
  <si>
    <t xml:space="preserve">Sneakers</t>
  </si>
  <si>
    <t xml:space="preserve">Mona Fathy</t>
  </si>
  <si>
    <t xml:space="preserve">Aya Farouk</t>
  </si>
  <si>
    <t xml:space="preserve">Sara Adel</t>
  </si>
  <si>
    <t xml:space="preserve">Laila Hassan</t>
  </si>
  <si>
    <t xml:space="preserve">Salma Adly</t>
  </si>
  <si>
    <t xml:space="preserve">Heba Kamal</t>
  </si>
  <si>
    <t xml:space="preserve">Aya Adel</t>
  </si>
  <si>
    <t xml:space="preserve">Mohamed Hassan</t>
  </si>
  <si>
    <t xml:space="preserve">MobileWallet</t>
  </si>
  <si>
    <t xml:space="preserve">Tarek Shafik</t>
  </si>
  <si>
    <t xml:space="preserve">Mohamed Aziz</t>
  </si>
  <si>
    <t xml:space="preserve">Mahmoud Saeed</t>
  </si>
  <si>
    <t xml:space="preserve">Fatma Ibrahim</t>
  </si>
  <si>
    <t xml:space="preserve">TAREK NABIL</t>
  </si>
  <si>
    <t xml:space="preserve">Ali Adly</t>
  </si>
  <si>
    <t xml:space="preserve">2026-08-21</t>
  </si>
  <si>
    <t xml:space="preserve">Nour Fathy</t>
  </si>
  <si>
    <t xml:space="preserve">Omar Farouk</t>
  </si>
  <si>
    <t xml:space="preserve">Mariam Adly</t>
  </si>
  <si>
    <t xml:space="preserve">  Laila Mostafa  </t>
  </si>
  <si>
    <t xml:space="preserve">Heba Omar</t>
  </si>
  <si>
    <t xml:space="preserve">Smartwatch</t>
  </si>
  <si>
    <t xml:space="preserve">Hassan Shafik</t>
  </si>
  <si>
    <t xml:space="preserve">39.01</t>
  </si>
  <si>
    <t xml:space="preserve">Laila Farouk</t>
  </si>
  <si>
    <t xml:space="preserve">$627.99</t>
  </si>
  <si>
    <t xml:space="preserve">  Fatma Adly  </t>
  </si>
  <si>
    <t xml:space="preserve">Mariam Saeed</t>
  </si>
  <si>
    <t xml:space="preserve">Dina Omar</t>
  </si>
  <si>
    <t xml:space="preserve">Dina Nabil</t>
  </si>
  <si>
    <t xml:space="preserve">karim adel</t>
  </si>
  <si>
    <t xml:space="preserve">Nour Omar</t>
  </si>
  <si>
    <t xml:space="preserve">Omar Aziz</t>
  </si>
  <si>
    <t xml:space="preserve">Sara Nabil</t>
  </si>
  <si>
    <t xml:space="preserve">  Karim Adel  </t>
  </si>
  <si>
    <t xml:space="preserve">Laila Omar</t>
  </si>
  <si>
    <t xml:space="preserve">  Nourhan Adly  </t>
  </si>
  <si>
    <t xml:space="preserve">Mohamed Fathy</t>
  </si>
  <si>
    <t xml:space="preserve">ELECTRONICS</t>
  </si>
  <si>
    <t xml:space="preserve">Ali Fathy</t>
  </si>
  <si>
    <t xml:space="preserve">not available</t>
  </si>
  <si>
    <t xml:space="preserve">1,203.27</t>
  </si>
  <si>
    <t xml:space="preserve">cash</t>
  </si>
  <si>
    <t xml:space="preserve">Laila Shafik</t>
  </si>
  <si>
    <t xml:space="preserve">Hassan Farouk</t>
  </si>
  <si>
    <t xml:space="preserve">Sara Gomaa</t>
  </si>
  <si>
    <t xml:space="preserve">Ali Nabil</t>
  </si>
  <si>
    <t xml:space="preserve">Mohamed Omar</t>
  </si>
  <si>
    <t xml:space="preserve"> Furniture</t>
  </si>
  <si>
    <t xml:space="preserve">KARIM ADEL</t>
  </si>
  <si>
    <t xml:space="preserve">Khaled Farouk</t>
  </si>
  <si>
    <t xml:space="preserve">Cookbook</t>
  </si>
  <si>
    <t xml:space="preserve">Mona Omar</t>
  </si>
  <si>
    <t xml:space="preserve">Heba Nabil</t>
  </si>
  <si>
    <t xml:space="preserve">Heba Adel</t>
  </si>
  <si>
    <t xml:space="preserve">Aya Ibrahim</t>
  </si>
  <si>
    <t xml:space="preserve">Karim Shafik</t>
  </si>
  <si>
    <t xml:space="preserve">Mona Shafik</t>
  </si>
  <si>
    <t xml:space="preserve">Salma Hassan</t>
  </si>
  <si>
    <t xml:space="preserve">Khaled Gomaa</t>
  </si>
  <si>
    <t xml:space="preserve">mohamed mostafa</t>
  </si>
  <si>
    <t xml:space="preserve">Youssef Saeed</t>
  </si>
  <si>
    <t xml:space="preserve">Aya Saeed</t>
  </si>
  <si>
    <t xml:space="preserve">GROCERIES</t>
  </si>
  <si>
    <t xml:space="preserve">Mariam Adel</t>
  </si>
  <si>
    <t xml:space="preserve">2,417.86</t>
  </si>
  <si>
    <t xml:space="preserve">Credit_Card</t>
  </si>
  <si>
    <t xml:space="preserve">Youssef Fathy</t>
  </si>
  <si>
    <t xml:space="preserve">Aya Aziz</t>
  </si>
  <si>
    <t xml:space="preserve">tarek nabil</t>
  </si>
  <si>
    <t xml:space="preserve">Mahmoud Ibrahim</t>
  </si>
  <si>
    <t xml:space="preserve">TANTA</t>
  </si>
  <si>
    <t xml:space="preserve">Karim Kamal</t>
  </si>
  <si>
    <t xml:space="preserve">Mahmoud Hassan</t>
  </si>
  <si>
    <t xml:space="preserve">Furniture </t>
  </si>
  <si>
    <t xml:space="preserve">Nour Aziz</t>
  </si>
  <si>
    <t xml:space="preserve">Heba Gomaa</t>
  </si>
  <si>
    <t xml:space="preserve">Mona Aziz</t>
  </si>
  <si>
    <t xml:space="preserve">Mahmoud Adly</t>
  </si>
  <si>
    <t xml:space="preserve">Youssef Nabil</t>
  </si>
  <si>
    <t xml:space="preserve">Omar Saeed</t>
  </si>
  <si>
    <t xml:space="preserve">Karim Fathy</t>
  </si>
  <si>
    <t xml:space="preserve">Laila Ibrahim</t>
  </si>
  <si>
    <t xml:space="preserve">Mohamed Shafik</t>
  </si>
  <si>
    <t xml:space="preserve">Mohamed Adly</t>
  </si>
  <si>
    <t xml:space="preserve">Hassan Mostafa</t>
  </si>
  <si>
    <t xml:space="preserve">e-wallet</t>
  </si>
  <si>
    <t xml:space="preserve">  Mohamed Aziz  </t>
  </si>
  <si>
    <t xml:space="preserve">giza</t>
  </si>
  <si>
    <t xml:space="preserve">Salma Fathy</t>
  </si>
  <si>
    <t xml:space="preserve">Salma Gomaa</t>
  </si>
  <si>
    <t xml:space="preserve">CC</t>
  </si>
  <si>
    <t xml:space="preserve">Mohamed Ibrahim</t>
  </si>
  <si>
    <t xml:space="preserve">Cash </t>
  </si>
  <si>
    <t xml:space="preserve">Aya Nabil</t>
  </si>
  <si>
    <t xml:space="preserve">2538.56 EGP</t>
  </si>
  <si>
    <t xml:space="preserve"> Clothing</t>
  </si>
  <si>
    <t xml:space="preserve">Mahmoud Shafik</t>
  </si>
  <si>
    <t xml:space="preserve">Ali Saeed</t>
  </si>
  <si>
    <t xml:space="preserve">$612.54</t>
  </si>
  <si>
    <t xml:space="preserve">Karim Aziz</t>
  </si>
  <si>
    <t xml:space="preserve">Mahmoud Gomaa</t>
  </si>
  <si>
    <t xml:space="preserve">Omar Nabil</t>
  </si>
  <si>
    <t xml:space="preserve">Ali Ibrahim</t>
  </si>
  <si>
    <t xml:space="preserve">$265.61</t>
  </si>
  <si>
    <t xml:space="preserve">Mohamed Farouk</t>
  </si>
  <si>
    <t xml:space="preserve">Hassan Adel</t>
  </si>
  <si>
    <t xml:space="preserve">Electronic</t>
  </si>
  <si>
    <t xml:space="preserve">Fatma Shafik</t>
  </si>
  <si>
    <t xml:space="preserve">Aya Adly</t>
  </si>
  <si>
    <t xml:space="preserve">TOYS</t>
  </si>
  <si>
    <t xml:space="preserve">Hassan Fathy</t>
  </si>
  <si>
    <t xml:space="preserve">Ali Omar</t>
  </si>
  <si>
    <t xml:space="preserve">Sara Adly</t>
  </si>
  <si>
    <t xml:space="preserve">Books </t>
  </si>
  <si>
    <t xml:space="preserve">Heba Adly</t>
  </si>
  <si>
    <t xml:space="preserve">Youssef Adly</t>
  </si>
  <si>
    <t xml:space="preserve">Karim Farouk</t>
  </si>
  <si>
    <t xml:space="preserve">Tarek Ibrahim</t>
  </si>
  <si>
    <t xml:space="preserve">Dina Kamal</t>
  </si>
  <si>
    <t xml:space="preserve">GIZA</t>
  </si>
  <si>
    <t xml:space="preserve">31-02-2024</t>
  </si>
  <si>
    <t xml:space="preserve">NOURHAN ADLY</t>
  </si>
  <si>
    <t xml:space="preserve">Mahmoud Farouk</t>
  </si>
  <si>
    <t xml:space="preserve">377.26 EGP</t>
  </si>
  <si>
    <t xml:space="preserve">Sara Omar</t>
  </si>
  <si>
    <t xml:space="preserve">Laila Mostafa</t>
  </si>
  <si>
    <t xml:space="preserve">Youssef Aziz</t>
  </si>
  <si>
    <t xml:space="preserve">Ali Aziz</t>
  </si>
  <si>
    <t xml:space="preserve">Sara Aziz</t>
  </si>
  <si>
    <t xml:space="preserve">Electronics </t>
  </si>
  <si>
    <t xml:space="preserve">$489.08</t>
  </si>
  <si>
    <t xml:space="preserve">MANSOURA</t>
  </si>
  <si>
    <t xml:space="preserve">Mahmoud Adel</t>
  </si>
  <si>
    <t xml:space="preserve">Groceries </t>
  </si>
  <si>
    <t xml:space="preserve">qena</t>
  </si>
  <si>
    <t xml:space="preserve">Nour Gomaa</t>
  </si>
  <si>
    <t xml:space="preserve">Fatma Adly</t>
  </si>
  <si>
    <t xml:space="preserve">Tarek Saeed</t>
  </si>
  <si>
    <t xml:space="preserve">Sara Saeed</t>
  </si>
  <si>
    <t xml:space="preserve">Dina Saeed</t>
  </si>
  <si>
    <t xml:space="preserve">Nour Adel</t>
  </si>
  <si>
    <t xml:space="preserve">Fatma Nabil</t>
  </si>
  <si>
    <t xml:space="preserve">Youssef Adel</t>
  </si>
  <si>
    <t xml:space="preserve">CAIRO</t>
  </si>
  <si>
    <t xml:space="preserve">  Laila Fathy  </t>
  </si>
  <si>
    <t xml:space="preserve">Fatma Hassan</t>
  </si>
  <si>
    <t xml:space="preserve">Khaled Omar</t>
  </si>
  <si>
    <t xml:space="preserve"> Groceries</t>
  </si>
  <si>
    <t xml:space="preserve">$1,150.24</t>
  </si>
  <si>
    <t xml:space="preserve">Dina Gomaa</t>
  </si>
  <si>
    <t xml:space="preserve">$2,481.47</t>
  </si>
  <si>
    <t xml:space="preserve">Hassan Saeed</t>
  </si>
  <si>
    <t xml:space="preserve">2,420.47</t>
  </si>
  <si>
    <t xml:space="preserve">Fatma Adel</t>
  </si>
  <si>
    <t xml:space="preserve">Laila Adly</t>
  </si>
  <si>
    <t xml:space="preserve">Khaled Nabil</t>
  </si>
  <si>
    <t xml:space="preserve">Mona Gomaa</t>
  </si>
  <si>
    <t xml:space="preserve">Ahmed Ibrahim</t>
  </si>
  <si>
    <t xml:space="preserve">Mahmoud Omar</t>
  </si>
  <si>
    <t xml:space="preserve">292.15 EGP</t>
  </si>
  <si>
    <t xml:space="preserve">Tarek Adly</t>
  </si>
  <si>
    <t xml:space="preserve">Khaled Fathy</t>
  </si>
  <si>
    <t xml:space="preserve">Heba Hassan</t>
  </si>
  <si>
    <t xml:space="preserve">debit card</t>
  </si>
  <si>
    <t xml:space="preserve">Fatma Mostafa</t>
  </si>
  <si>
    <t xml:space="preserve">Youssef Farouk</t>
  </si>
  <si>
    <t xml:space="preserve">2894.27 EGP</t>
  </si>
  <si>
    <t xml:space="preserve">  Dina Omar  </t>
  </si>
  <si>
    <t xml:space="preserve">Omar Omar</t>
  </si>
  <si>
    <t xml:space="preserve">851.21</t>
  </si>
  <si>
    <t xml:space="preserve">Dina Farouk</t>
  </si>
  <si>
    <t xml:space="preserve">Ahmed Omar</t>
  </si>
  <si>
    <t xml:space="preserve">551.85</t>
  </si>
  <si>
    <t xml:space="preserve">00/00/0000</t>
  </si>
  <si>
    <t xml:space="preserve">Mona Ibrahim</t>
  </si>
  <si>
    <t xml:space="preserve">KHALED KAMAL</t>
  </si>
  <si>
    <t xml:space="preserve">credit card</t>
  </si>
  <si>
    <t xml:space="preserve">Tarek Gomaa</t>
  </si>
  <si>
    <t xml:space="preserve">Salma Mostafa</t>
  </si>
  <si>
    <t xml:space="preserve">Omar Mostafa</t>
  </si>
  <si>
    <t xml:space="preserve">MARIAM SAEED</t>
  </si>
  <si>
    <t xml:space="preserve">512.08 EGP</t>
  </si>
  <si>
    <t xml:space="preserve">Sara Fathy</t>
  </si>
  <si>
    <t xml:space="preserve">Khaled Ibrahim</t>
  </si>
  <si>
    <t xml:space="preserve">Karim Hassan</t>
  </si>
  <si>
    <t xml:space="preserve">Nour Mostafa</t>
  </si>
  <si>
    <t xml:space="preserve">Cairo </t>
  </si>
  <si>
    <t xml:space="preserve">Mahmoud Mostafa</t>
  </si>
  <si>
    <t xml:space="preserve">Mohamed Nabil</t>
  </si>
  <si>
    <t xml:space="preserve">mona saeed</t>
  </si>
  <si>
    <t xml:space="preserve">Dataset Metadata — Retail Sales (Raw Export)</t>
  </si>
  <si>
    <t xml:space="preserve">Source</t>
  </si>
  <si>
    <t xml:space="preserve">Simulated point-of-sale export from a retail chain's order system (for training purposes only)</t>
  </si>
  <si>
    <t xml:space="preserve">Sheet containing data</t>
  </si>
  <si>
    <t xml:space="preserve">RawData</t>
  </si>
  <si>
    <t xml:space="preserve">Number of rows (excluding header)</t>
  </si>
  <si>
    <t xml:space="preserve">Time period covered</t>
  </si>
  <si>
    <t xml:space="preserve">January 2024 – December 2024 (where dates are valid)</t>
  </si>
  <si>
    <t xml:space="preserve">Known data quality note</t>
  </si>
  <si>
    <t xml:space="preserve">This export was pulled directly from the source system without any cleaning. It may contain duplicate records, missing values, invalid or unrealistic values, inconsistent spelling/casing of category values, invalid or unparseable dates, and inconsistent formatting across columns. Cleaning this data is part of the assigned task.</t>
  </si>
  <si>
    <t xml:space="preserve">Column Dictionary</t>
  </si>
  <si>
    <t xml:space="preserve">Column Name</t>
  </si>
  <si>
    <t xml:space="preserve">Expected Data Type</t>
  </si>
  <si>
    <t xml:space="preserve">Description</t>
  </si>
  <si>
    <t xml:space="preserve">Number</t>
  </si>
  <si>
    <t xml:space="preserve">Unique identifier assigned to each order at the time of sale.</t>
  </si>
  <si>
    <t xml:space="preserve">Date</t>
  </si>
  <si>
    <t xml:space="preserve">The date the order was placed.</t>
  </si>
  <si>
    <t xml:space="preserve">Text</t>
  </si>
  <si>
    <t xml:space="preserve">Full name of the customer who placed the order.</t>
  </si>
  <si>
    <t xml:space="preserve">Text (Category)</t>
  </si>
  <si>
    <t xml:space="preserve">City where the order was delivered.</t>
  </si>
  <si>
    <t xml:space="preserve">Category the purchased product belongs to.</t>
  </si>
  <si>
    <t xml:space="preserve">Name of the specific product purchased.</t>
  </si>
  <si>
    <t xml:space="preserve">Number of units purchased in the order.</t>
  </si>
  <si>
    <t xml:space="preserve">Price per unit in EGP at the time of sale.</t>
  </si>
  <si>
    <t xml:space="preserve">Method used to pay for the order.</t>
  </si>
  <si>
    <t xml:space="preserve">Text (Boolean-like)</t>
  </si>
  <si>
    <t xml:space="preserve">Whether the order was later returned by the customer.</t>
  </si>
  <si>
    <t xml:space="preserve">Name of the sales representative who processed the order.</t>
  </si>
  <si>
    <t xml:space="preserve">Data Cleaning Log — Power Query Applied Steps</t>
  </si>
  <si>
    <t xml:space="preserve">Source: RawData (324 rows) → Output: CleanedData (see Cleaned Data sheet)</t>
  </si>
  <si>
    <t xml:space="preserve">Step</t>
  </si>
  <si>
    <t xml:space="preserve">Issue Type</t>
  </si>
  <si>
    <t xml:space="preserve">Column(s)</t>
  </si>
  <si>
    <t xml:space="preserve">Action Taken</t>
  </si>
  <si>
    <t xml:space="preserve">Justification</t>
  </si>
  <si>
    <t xml:space="preserve">Duplicates</t>
  </si>
  <si>
    <t xml:space="preserve">All columns</t>
  </si>
  <si>
    <t xml:space="preserve">Removed fully duplicated order records</t>
  </si>
  <si>
    <t xml:space="preserve">1 row (OrderID 1195) was byte-for-byte identical to another row — a clear double-entry of the same order. Kept the first occurrence, removed the repeat.</t>
  </si>
  <si>
    <t xml:space="preserve">Invalid Dates</t>
  </si>
  <si>
    <t xml:space="preserve">Corrected 3 rows dated '2026-08-21' to '2024-08-21'</t>
  </si>
  <si>
    <t xml:space="preserve">Day/month were valid; only the year was wrong and fell one keystroke from 2024, the only year covered by this export (per Metadata). Treated as a typo and fixed rather than discarded.</t>
  </si>
  <si>
    <t xml:space="preserve">Removed 18 rows with blank or unparseable dates (e.g. 'N/A', '2024/13/40', '31-02-2024', '00/00/0000', 'not available')</t>
  </si>
  <si>
    <t xml:space="preserve">These values cannot be mapped to a real calendar date. Since Monthly Sales Trend requires a valid month, rows with no recoverable date were dropped rather than guessed.</t>
  </si>
  <si>
    <t xml:space="preserve">Missing Values</t>
  </si>
  <si>
    <t xml:space="preserve">Quantity, UnitPrice</t>
  </si>
  <si>
    <t xml:space="preserve">Removed 15 rows missing Quantity and/or UnitPrice</t>
  </si>
  <si>
    <t xml:space="preserve">Total Sales = Quantity × UnitPrice. Neither figure can be safely estimated without fabricating revenue, so rows lacking either were removed.</t>
  </si>
  <si>
    <t xml:space="preserve">Invalid Values</t>
  </si>
  <si>
    <t xml:space="preserve">Removed rows with Quantity ≤ 0 or Quantity ≥ 9999</t>
  </si>
  <si>
    <t xml:space="preserve">Zero/negative units and a flat 9999 are not realistic order quantities — clear data-entry errors, not real sales, so removed.</t>
  </si>
  <si>
    <t xml:space="preserve">Removed rows with UnitPrice ≤ 0 (after currency clean-up)</t>
  </si>
  <si>
    <t xml:space="preserve">A price of zero or negative is not a valid sale price and would distort Total Sales; rows removed.</t>
  </si>
  <si>
    <t xml:space="preserve">Inconsistency</t>
  </si>
  <si>
    <t xml:space="preserve">Stripped '$' and 'EGP' symbols and ',' thousand separators; converted to Number</t>
  </si>
  <si>
    <t xml:space="preserve">Values such as '$627.99', '2,967.52' and '2993.15 EGP' were stored as text. Cleaned and typed as Number so SUM/aggregations work.</t>
  </si>
  <si>
    <t xml:space="preserve">Standardized TRUE/1/Y/Yes/true/… → 'Yes' and FALSE/0/N/No/false/… → 'No'</t>
  </si>
  <si>
    <t xml:space="preserve">Six different spellings of the same two states existed. Unified to a single Yes/No text value.</t>
  </si>
  <si>
    <t xml:space="preserve">Typos / Categories</t>
  </si>
  <si>
    <t xml:space="preserve">Standardized casing/spelling (e.g. 'CAIRO', 'Cairo ', 'giza', 'Alexanderia' → 'Cairo', 'Giza', 'Alexandria')</t>
  </si>
  <si>
    <t xml:space="preserve">Same city was recorded with mixed case, trailing spaces and one misspelling. Unified to one Proper-Case spelling per city so PivotTable grouping doesn't split real cities into duplicates.</t>
  </si>
  <si>
    <t xml:space="preserve">Standardized casing/spelling (e.g. 'TOYS', ' Clothing', 'Electronic' → 'Toys', 'Clothing', 'Electronics')</t>
  </si>
  <si>
    <t xml:space="preserve">Same fix as City — six categories were fragmented into 20+ spelling/case variants.</t>
  </si>
  <si>
    <t xml:space="preserve">Standardized labels (e.g. 'CC','DC','Credit_Card','MobileWallet','e-wallet' → 'Credit Card','Debit Card','Credit Card','Mobile Wallet','Mobile Wallet')</t>
  </si>
  <si>
    <t xml:space="preserve">Abbreviations and alternate spellings of the same 4 payment methods were unified to one label each.</t>
  </si>
  <si>
    <t xml:space="preserve">Filled 10 blanks with 'Unknown'</t>
  </si>
  <si>
    <t xml:space="preserve">The order itself (Quantity × UnitPrice) is still valid revenue; dropping the row would lose real sales data. 'Unknown' keeps the row queryable without inventing a city.</t>
  </si>
  <si>
    <t xml:space="preserve">Filled 6 blanks with 'Unknown'</t>
  </si>
  <si>
    <t xml:space="preserve">Same reasoning as City — preserve the valid sales value, flag the missing attribute explicitly rather than guessing a category.</t>
  </si>
  <si>
    <t xml:space="preserve">Filled 9 blanks with 'Unknown'</t>
  </si>
  <si>
    <t xml:space="preserve">Same reasoning — the sale is real; only the payment method is unrecorded.</t>
  </si>
  <si>
    <t xml:space="preserve">Filled 14 blanks with 'Unknown'</t>
  </si>
  <si>
    <t xml:space="preserve">Not used in any required PivotTable; kept the order rather than discarding revenue over a missing name.</t>
  </si>
  <si>
    <t xml:space="preserve">Filled 13 blanks with 'Unknown'</t>
  </si>
  <si>
    <t xml:space="preserve">Same reasoning as CustomerName — cosmetic field, not worth losing a valid order over.</t>
  </si>
  <si>
    <t xml:space="preserve">Calculated Column</t>
  </si>
  <si>
    <t xml:space="preserve">Total Sales</t>
  </si>
  <si>
    <t xml:space="preserve">Added Total Sales = Quantity × UnitPrice</t>
  </si>
  <si>
    <t xml:space="preserve">Required measure for all four PivotTables; added as the final step once Quantity and UnitPrice were both clean numbers.</t>
  </si>
  <si>
    <t xml:space="preserve">Net result: 324 raw rows → 266 clean rows loaded to the Data Model (58 rows removed across steps 1, 2b, 4, 5, 6).</t>
  </si>
  <si>
    <t xml:space="preserve">Power Query M Code — paste into Home ▸ Advanced Editor</t>
  </si>
  <si>
    <t xml:space="preserve">How to use: Data ▸ Get Data ▸ From Workbook ▸ this file ▸ RawData sheet ▸ Transform Data. In the Power Query Editor, go to Home ▸ Advanced Editor, select all, paste the code below. Each line becomes one named, visible step in the Applied Steps pane (matches Cleaning_Log sheet).</t>
  </si>
  <si>
    <t xml:space="preserve">let</t>
  </si>
  <si>
    <t xml:space="preserve">    Source = Excel.CurrentWorkbook(){[Name="RawData"]}[Content],</t>
  </si>
  <si>
    <t xml:space="preserve">    ChangedTypes = Table.TransformColumnTypes(Source,{</t>
  </si>
  <si>
    <t xml:space="preserve">        {"OrderID", Int64.Type}, {"OrderDate", type any}, {"CustomerName", type text},</t>
  </si>
  <si>
    <t xml:space="preserve">        {"City", type text}, {"ProductCategory", type text}, {"ProductName", type text},</t>
  </si>
  <si>
    <t xml:space="preserve">        {"Quantity", type any}, {"UnitPrice", type any}, {"PaymentMethod", type text},</t>
  </si>
  <si>
    <t xml:space="preserve">        {"Returned", type text}, {"SalesRep", type text}}),</t>
  </si>
  <si>
    <t xml:space="preserve">    // Step 1 - Duplicates: remove fully duplicated order records</t>
  </si>
  <si>
    <t xml:space="preserve">    RemovedDuplicates = Table.Distinct(ChangedTypes),</t>
  </si>
  <si>
    <t xml:space="preserve">    // Step 2 - Invalid Dates: fix the '2026-08-21' typo (should be 2024), then remove unparseable dates</t>
  </si>
  <si>
    <t xml:space="preserve">    FixedYearTypo = Table.ReplaceValue(RemovedDuplicates, "2026-08-21", "2024-08-21", Replacer.ReplaceText, {"OrderDate"}),</t>
  </si>
  <si>
    <t xml:space="preserve">    ParsedDates = Table.TransformColumns(FixedYearTypo, {{"OrderDate", each try Date.From(_) otherwise null}}),</t>
  </si>
  <si>
    <t xml:space="preserve">    RemovedInvalidDates = Table.SelectRows(ParsedDates, each [OrderDate] &lt;&gt; null),</t>
  </si>
  <si>
    <t xml:space="preserve">    TypedDate = Table.TransformColumnTypes(RemovedInvalidDates, {{"OrderDate", type date}}),</t>
  </si>
  <si>
    <t xml:space="preserve">    // Step 3 - Missing Values: Quantity / UnitPrice cannot be estimated -&gt; remove</t>
  </si>
  <si>
    <t xml:space="preserve">    RemovedMissingQtyPrice = Table.SelectRows(TypedDate, each [Quantity] &lt;&gt; null and [UnitPrice] &lt;&gt; null and [UnitPrice] &lt;&gt; ""),</t>
  </si>
  <si>
    <t xml:space="preserve">    // Step 4 - Inconsistency: clean UnitPrice text ($, EGP, thousand separators) -&gt; Number</t>
  </si>
  <si>
    <t xml:space="preserve">    CleanedPriceText = Table.TransformColumns(RemovedMissingQtyPrice, {{"UnitPrice", each</t>
  </si>
  <si>
    <t xml:space="preserve">        Number.From(Text.Trim(Text.Replace(Text.Replace(Text.Replace(Text.From(_), "$", ""), "EGP", ""), ",", "")))</t>
  </si>
  <si>
    <t xml:space="preserve">        , type number}}),</t>
  </si>
  <si>
    <t xml:space="preserve">    // Step 5 - Invalid Values: impossible / unrealistic Quantity and UnitPrice</t>
  </si>
  <si>
    <t xml:space="preserve">    RemovedInvalidValues = Table.SelectRows(CleanedPriceText, each</t>
  </si>
  <si>
    <t xml:space="preserve">        [Quantity] &gt; 0 and [Quantity] &lt; 9999 and [UnitPrice] &gt; 0),</t>
  </si>
  <si>
    <t xml:space="preserve">    // Step 6 - Typos / Inconsistent Categories: standardize City</t>
  </si>
  <si>
    <t xml:space="preserve">    CleanedCity = Table.TransformColumns(RemovedInvalidValues, {{"City", each</t>
  </si>
  <si>
    <t xml:space="preserve">        let t = Text.Proper(Text.Trim(_)) in if t = "Alexanderia" then "Alexandria" else t, type text}}),</t>
  </si>
  <si>
    <t xml:space="preserve">    // Step 7 - standardize ProductCategory</t>
  </si>
  <si>
    <t xml:space="preserve">    CleanedCategory = Table.TransformColumns(CleanedCity, {{"ProductCategory", each</t>
  </si>
  <si>
    <t xml:space="preserve">        let t = Text.Proper(Text.Trim(_)) in if t = "Electronic" then "Electronics" else t, type text}}),</t>
  </si>
  <si>
    <t xml:space="preserve">    // Step 8 - standardize PaymentMethod</t>
  </si>
  <si>
    <t xml:space="preserve">    CleanedPayment = Table.TransformColumns(CleanedCategory, {{"PaymentMethod", each</t>
  </si>
  <si>
    <t xml:space="preserve">        let t = Text.Proper(Text.Trim(Text.Replace(_, "_", " "))) in</t>
  </si>
  <si>
    <t xml:space="preserve">            if t = "Cc" then "Credit Card"</t>
  </si>
  <si>
    <t xml:space="preserve">            else if t = "Dc" then "Debit Card"</t>
  </si>
  <si>
    <t xml:space="preserve">            else if t = "Mobilewallet" then "Mobile Wallet"</t>
  </si>
  <si>
    <t xml:space="preserve">            else if t = "E-wallet" then "Mobile Wallet"</t>
  </si>
  <si>
    <t xml:space="preserve">            else t, type text}}),</t>
  </si>
  <si>
    <t xml:space="preserve">    // Step 9 - standardize Returned to Yes/No</t>
  </si>
  <si>
    <t xml:space="preserve">    CleanedReturned = Table.TransformColumns(CleanedPayment, {{"Returned", each</t>
  </si>
  <si>
    <t xml:space="preserve">        let t = Text.Lower(Text.Trim(_)) in</t>
  </si>
  <si>
    <t xml:space="preserve">            if List.Contains({"true","1","yes","y"}, t) then "Yes"</t>
  </si>
  <si>
    <t xml:space="preserve">            else if List.Contains({"false","0","no","n"}, t) then "No"</t>
  </si>
  <si>
    <t xml:space="preserve">            else _, type text}}),</t>
  </si>
  <si>
    <t xml:space="preserve">    // Step 10/11 - fill blanks in non-required text fields / grouping fields with "Unknown"</t>
  </si>
  <si>
    <t xml:space="preserve">    FilledBlanks = Table.ReplaceValue(CleanedReturned, null, "Unknown", Replacer.ReplaceValue,</t>
  </si>
  <si>
    <t xml:space="preserve">        {"City", "ProductCategory", "PaymentMethod", "CustomerName", "SalesRep"}),</t>
  </si>
  <si>
    <t xml:space="preserve">    // Step 12 - Calculated column</t>
  </si>
  <si>
    <t xml:space="preserve">    AddedTotalSales = Table.AddColumn(FilledBlanks, "Total Sales", each [Quantity] * [UnitPrice], type number)</t>
  </si>
  <si>
    <t xml:space="preserve">in</t>
  </si>
  <si>
    <t xml:space="preserve">    AddedTotalSales</t>
  </si>
  <si>
    <t xml:space="preserve">After pasting: Close &amp; Load To… ▸ Only Create Connection ▸ check 'Add this data to the Data Model'.</t>
  </si>
  <si>
    <t xml:space="preserve">Unknown</t>
  </si>
  <si>
    <t xml:space="preserve">PivotTable Summaries (formula-driven from the CleanedData table)</t>
  </si>
  <si>
    <t xml:space="preserve">These four tables reproduce the required PivotTable results using SUMIFS/COUNTIFS against the CleanedData table, so the workbook is fully functional and its charts already work. See the Instructions sheet to rebuild each one as a native Data-Model PivotTable with slicers.</t>
  </si>
  <si>
    <t xml:space="preserve">Pivot 1 — Sales by Category &amp; City  (Sum of Total Sales)</t>
  </si>
  <si>
    <t xml:space="preserve">Product Category</t>
  </si>
  <si>
    <t xml:space="preserve">Grand Total</t>
  </si>
  <si>
    <t xml:space="preserve">Pivot 2 — Monthly Sales Trend  (Sum of Total Sales)</t>
  </si>
  <si>
    <t xml:space="preserve">Month</t>
  </si>
  <si>
    <t xml:space="preserve">Sum of Total Sales</t>
  </si>
  <si>
    <t xml:space="preserve">Pivot 3 — Payment Method Breakdown</t>
  </si>
  <si>
    <t xml:space="preserve">Payment Method</t>
  </si>
  <si>
    <t xml:space="preserve">Count of Orders</t>
  </si>
  <si>
    <t xml:space="preserve">Pivot 4 — Top 10 Products  (Sum of Total Sales, ranked)</t>
  </si>
  <si>
    <t xml:space="preserve">Product Name</t>
  </si>
  <si>
    <t xml:space="preserve">(chart order — mirrors Pivot 4 above, reversed for the bar chart)</t>
  </si>
</sst>
</file>

<file path=xl/styles.xml><?xml version="1.0" encoding="utf-8"?>
<styleSheet xmlns="http://schemas.openxmlformats.org/spreadsheetml/2006/main">
  <numFmts count="6">
    <numFmt numFmtId="164" formatCode="General"/>
    <numFmt numFmtId="165" formatCode="yyyy\-mm\-dd\ h:mm:ss"/>
    <numFmt numFmtId="166" formatCode="yyyy\-mm\-dd"/>
    <numFmt numFmtId="167" formatCode="#,##0.00"/>
    <numFmt numFmtId="168" formatCode="#,##0"/>
    <numFmt numFmtId="169" formatCode="mmm\-yyyy"/>
  </numFmts>
  <fonts count="20">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i val="true"/>
      <sz val="10"/>
      <color rgb="FF7F7F7F"/>
      <name val="Arial"/>
      <family val="0"/>
      <charset val="1"/>
    </font>
    <font>
      <b val="true"/>
      <sz val="10"/>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6"/>
      <color rgb="FF1F3864"/>
      <name val="Arial"/>
      <family val="0"/>
      <charset val="1"/>
    </font>
    <font>
      <b val="true"/>
      <sz val="11"/>
      <color rgb="FF1F3864"/>
      <name val="Arial"/>
      <family val="0"/>
      <charset val="1"/>
    </font>
    <font>
      <sz val="10"/>
      <name val="Arial"/>
      <family val="0"/>
      <charset val="1"/>
    </font>
    <font>
      <i val="true"/>
      <sz val="9"/>
      <color rgb="FF7F7F7F"/>
      <name val="Arial"/>
      <family val="0"/>
      <charset val="1"/>
    </font>
    <font>
      <b val="true"/>
      <sz val="11"/>
      <color rgb="FFFFFFFF"/>
      <name val="Arial"/>
      <family val="0"/>
      <charset val="1"/>
    </font>
    <font>
      <b val="true"/>
      <sz val="13"/>
      <color rgb="FF1F3864"/>
      <name val="Arial"/>
      <family val="0"/>
      <charset val="1"/>
    </font>
    <font>
      <b val="true"/>
      <i val="true"/>
      <sz val="10"/>
      <color rgb="FF1F3864"/>
      <name val="Arial"/>
      <family val="0"/>
      <charset val="1"/>
    </font>
    <font>
      <sz val="9.5"/>
      <name val="Consolas"/>
      <family val="0"/>
      <charset val="1"/>
    </font>
    <font>
      <b val="true"/>
      <i val="true"/>
      <sz val="11"/>
      <color rgb="FF1F3864"/>
      <name val="Arial"/>
      <family val="0"/>
      <charset val="1"/>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DCE6F1"/>
        <bgColor rgb="FFD9D9D9"/>
      </patternFill>
    </fill>
  </fills>
  <borders count="3">
    <border diagonalUp="false" diagonalDown="false">
      <left/>
      <right/>
      <top/>
      <bottom/>
      <diagonal/>
    </border>
    <border diagonalUp="false" diagonalDown="false">
      <left style="thin">
        <color rgb="FF1F3864"/>
      </left>
      <right style="thin">
        <color rgb="FF1F3864"/>
      </right>
      <top style="thin">
        <color rgb="FF1F3864"/>
      </top>
      <bottom style="thin">
        <color rgb="FF1F3864"/>
      </bottom>
      <diagonal/>
    </border>
    <border diagonalUp="false" diagonalDown="false">
      <left style="thin">
        <color rgb="FFB7C6E3"/>
      </left>
      <right style="thin">
        <color rgb="FFB7C6E3"/>
      </right>
      <top style="thin">
        <color rgb="FFB7C6E3"/>
      </top>
      <bottom style="thin">
        <color rgb="FFB7C6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4" fillId="2" borderId="2" xfId="0" applyFont="true" applyBorder="true" applyAlignment="true" applyProtection="false">
      <alignment horizontal="general" vertical="top" textRotation="0" wrapText="true" indent="0" shrinkToFit="false"/>
      <protection locked="true" hidden="false"/>
    </xf>
    <xf numFmtId="164" fontId="12" fillId="0" borderId="2"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2" borderId="2" xfId="0" applyFont="true" applyBorder="true" applyAlignment="true" applyProtection="false">
      <alignment horizontal="center" vertical="bottom" textRotation="0" wrapText="fals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8" fontId="12" fillId="0" borderId="2" xfId="0" applyFont="true" applyBorder="true" applyAlignment="true" applyProtection="false">
      <alignment horizontal="right"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9" fontId="12"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6E3"/>
      <rgbColor rgb="FF7F7F7F"/>
      <rgbColor rgb="FF8FAADC"/>
      <rgbColor rgb="FF993366"/>
      <rgbColor rgb="FFFFFFCC"/>
      <rgbColor rgb="FFDCE6F1"/>
      <rgbColor rgb="FF660066"/>
      <rgbColor rgb="FFFF8080"/>
      <rgbColor rgb="FF2E5EAA"/>
      <rgbColor rgb="FFC6D9F1"/>
      <rgbColor rgb="FF000080"/>
      <rgbColor rgb="FFFF00FF"/>
      <rgbColor rgb="FFFFFF00"/>
      <rgbColor rgb="FF00FFFF"/>
      <rgbColor rgb="FF800080"/>
      <rgbColor rgb="FF800000"/>
      <rgbColor rgb="FF008080"/>
      <rgbColor rgb="FF0000FF"/>
      <rgbColor rgb="FF00CCFF"/>
      <rgbColor rgb="FFCCFFFF"/>
      <rgbColor rgb="FFD9D9D9"/>
      <rgbColor rgb="FFFFFF99"/>
      <rgbColor rgb="FF9DC3E6"/>
      <rgbColor rgb="FFFF99CC"/>
      <rgbColor rgb="FFCC99FF"/>
      <rgbColor rgb="FFFFCC99"/>
      <rgbColor rgb="FF4472C4"/>
      <rgbColor rgb="FF33CCCC"/>
      <rgbColor rgb="FF99CC00"/>
      <rgbColor rgb="FFFFCC00"/>
      <rgbColor rgb="FFFF9900"/>
      <rgbColor rgb="FFFF6600"/>
      <rgbColor rgb="FF6C9BD1"/>
      <rgbColor rgb="FF878787"/>
      <rgbColor rgb="FF1F3864"/>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Category &amp; City</a:t>
            </a:r>
          </a:p>
        </c:rich>
      </c:tx>
      <c:overlay val="0"/>
      <c:spPr>
        <a:noFill/>
        <a:ln w="0">
          <a:noFill/>
        </a:ln>
      </c:spPr>
    </c:title>
    <c:autoTitleDeleted val="0"/>
    <c:plotArea>
      <c:barChart>
        <c:barDir val="col"/>
        <c:grouping val="clustered"/>
        <c:varyColors val="0"/>
        <c:ser>
          <c:idx val="0"/>
          <c:order val="0"/>
          <c:tx>
            <c:strRef>
              <c:f>PivotTables!B5</c:f>
              <c:strCache>
                <c:ptCount val="1"/>
                <c:pt idx="0">
                  <c:v>Alexandria</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PivotTables!$A$6:$A$11</c:f>
              <c:strCache>
                <c:ptCount val="6"/>
                <c:pt idx="0">
                  <c:v>Books</c:v>
                </c:pt>
                <c:pt idx="1">
                  <c:v>Clothing</c:v>
                </c:pt>
                <c:pt idx="2">
                  <c:v>Electronics</c:v>
                </c:pt>
                <c:pt idx="3">
                  <c:v>Furniture</c:v>
                </c:pt>
                <c:pt idx="4">
                  <c:v>Groceries</c:v>
                </c:pt>
                <c:pt idx="5">
                  <c:v>Toys</c:v>
                </c:pt>
              </c:strCache>
            </c:strRef>
          </c:cat>
          <c:val>
            <c:numRef>
              <c:f>PivotTables!$B$6:$B$11</c:f>
              <c:numCache>
                <c:formatCode>#,##0</c:formatCode>
                <c:ptCount val="6"/>
                <c:pt idx="0">
                  <c:v>20720.35</c:v>
                </c:pt>
                <c:pt idx="1">
                  <c:v>44560.43</c:v>
                </c:pt>
                <c:pt idx="2">
                  <c:v>19936.09</c:v>
                </c:pt>
                <c:pt idx="3">
                  <c:v>32977.9</c:v>
                </c:pt>
                <c:pt idx="4">
                  <c:v>48384.42</c:v>
                </c:pt>
                <c:pt idx="5">
                  <c:v>31194.58</c:v>
                </c:pt>
              </c:numCache>
            </c:numRef>
          </c:val>
        </c:ser>
        <c:ser>
          <c:idx val="1"/>
          <c:order val="1"/>
          <c:tx>
            <c:strRef>
              <c:f>PivotTables!C5</c:f>
              <c:strCache>
                <c:ptCount val="1"/>
                <c:pt idx="0">
                  <c:v>Aswan</c:v>
                </c:pt>
              </c:strCache>
            </c:strRef>
          </c:tx>
          <c:spPr>
            <a:solidFill>
              <a:srgbClr val="2e5ea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PivotTables!$A$6:$A$11</c:f>
              <c:strCache>
                <c:ptCount val="6"/>
                <c:pt idx="0">
                  <c:v>Books</c:v>
                </c:pt>
                <c:pt idx="1">
                  <c:v>Clothing</c:v>
                </c:pt>
                <c:pt idx="2">
                  <c:v>Electronics</c:v>
                </c:pt>
                <c:pt idx="3">
                  <c:v>Furniture</c:v>
                </c:pt>
                <c:pt idx="4">
                  <c:v>Groceries</c:v>
                </c:pt>
                <c:pt idx="5">
                  <c:v>Toys</c:v>
                </c:pt>
              </c:strCache>
            </c:strRef>
          </c:cat>
          <c:val>
            <c:numRef>
              <c:f>PivotTables!$C$6:$C$11</c:f>
              <c:numCache>
                <c:formatCode>#,##0</c:formatCode>
                <c:ptCount val="6"/>
                <c:pt idx="0">
                  <c:v>30875.62</c:v>
                </c:pt>
                <c:pt idx="1">
                  <c:v>55166.57</c:v>
                </c:pt>
                <c:pt idx="2">
                  <c:v>37182.36</c:v>
                </c:pt>
                <c:pt idx="3">
                  <c:v>11252.18</c:v>
                </c:pt>
                <c:pt idx="4">
                  <c:v>14624.15</c:v>
                </c:pt>
                <c:pt idx="5">
                  <c:v>27063.01</c:v>
                </c:pt>
              </c:numCache>
            </c:numRef>
          </c:val>
        </c:ser>
        <c:ser>
          <c:idx val="2"/>
          <c:order val="2"/>
          <c:tx>
            <c:strRef>
              <c:f>PivotTables!D5</c:f>
              <c:strCache>
                <c:ptCount val="1"/>
                <c:pt idx="0">
                  <c:v>Cairo</c:v>
                </c:pt>
              </c:strCache>
            </c:strRef>
          </c:tx>
          <c:spPr>
            <a:solidFill>
              <a:srgbClr val="6c9bd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PivotTables!$A$6:$A$11</c:f>
              <c:strCache>
                <c:ptCount val="6"/>
                <c:pt idx="0">
                  <c:v>Books</c:v>
                </c:pt>
                <c:pt idx="1">
                  <c:v>Clothing</c:v>
                </c:pt>
                <c:pt idx="2">
                  <c:v>Electronics</c:v>
                </c:pt>
                <c:pt idx="3">
                  <c:v>Furniture</c:v>
                </c:pt>
                <c:pt idx="4">
                  <c:v>Groceries</c:v>
                </c:pt>
                <c:pt idx="5">
                  <c:v>Toys</c:v>
                </c:pt>
              </c:strCache>
            </c:strRef>
          </c:cat>
          <c:val>
            <c:numRef>
              <c:f>PivotTables!$D$6:$D$11</c:f>
              <c:numCache>
                <c:formatCode>#,##0</c:formatCode>
                <c:ptCount val="6"/>
                <c:pt idx="0">
                  <c:v>54953.66</c:v>
                </c:pt>
                <c:pt idx="1">
                  <c:v>38257.11</c:v>
                </c:pt>
                <c:pt idx="2">
                  <c:v>44039.73</c:v>
                </c:pt>
                <c:pt idx="3">
                  <c:v>66114.93</c:v>
                </c:pt>
                <c:pt idx="4">
                  <c:v>30202.8</c:v>
                </c:pt>
                <c:pt idx="5">
                  <c:v>57285.62</c:v>
                </c:pt>
              </c:numCache>
            </c:numRef>
          </c:val>
        </c:ser>
        <c:ser>
          <c:idx val="3"/>
          <c:order val="3"/>
          <c:tx>
            <c:strRef>
              <c:f>PivotTables!E5</c:f>
              <c:strCache>
                <c:ptCount val="1"/>
                <c:pt idx="0">
                  <c:v>Giza</c:v>
                </c:pt>
              </c:strCache>
            </c:strRef>
          </c:tx>
          <c:spPr>
            <a:solidFill>
              <a:srgbClr val="9dc3e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PivotTables!$A$6:$A$11</c:f>
              <c:strCache>
                <c:ptCount val="6"/>
                <c:pt idx="0">
                  <c:v>Books</c:v>
                </c:pt>
                <c:pt idx="1">
                  <c:v>Clothing</c:v>
                </c:pt>
                <c:pt idx="2">
                  <c:v>Electronics</c:v>
                </c:pt>
                <c:pt idx="3">
                  <c:v>Furniture</c:v>
                </c:pt>
                <c:pt idx="4">
                  <c:v>Groceries</c:v>
                </c:pt>
                <c:pt idx="5">
                  <c:v>Toys</c:v>
                </c:pt>
              </c:strCache>
            </c:strRef>
          </c:cat>
          <c:val>
            <c:numRef>
              <c:f>PivotTables!$E$6:$E$11</c:f>
              <c:numCache>
                <c:formatCode>#,##0</c:formatCode>
                <c:ptCount val="6"/>
                <c:pt idx="0">
                  <c:v>25778.61</c:v>
                </c:pt>
                <c:pt idx="1">
                  <c:v>60007.48</c:v>
                </c:pt>
                <c:pt idx="2">
                  <c:v>35780.59</c:v>
                </c:pt>
                <c:pt idx="3">
                  <c:v>52875.21</c:v>
                </c:pt>
                <c:pt idx="4">
                  <c:v>111524.08</c:v>
                </c:pt>
                <c:pt idx="5">
                  <c:v>35244.31</c:v>
                </c:pt>
              </c:numCache>
            </c:numRef>
          </c:val>
        </c:ser>
        <c:ser>
          <c:idx val="4"/>
          <c:order val="4"/>
          <c:tx>
            <c:strRef>
              <c:f>PivotTables!F5</c:f>
              <c:strCache>
                <c:ptCount val="1"/>
                <c:pt idx="0">
                  <c:v>Luxor</c:v>
                </c:pt>
              </c:strCache>
            </c:strRef>
          </c:tx>
          <c:spPr>
            <a:solidFill>
              <a:srgbClr val="c6d9f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PivotTables!$A$6:$A$11</c:f>
              <c:strCache>
                <c:ptCount val="6"/>
                <c:pt idx="0">
                  <c:v>Books</c:v>
                </c:pt>
                <c:pt idx="1">
                  <c:v>Clothing</c:v>
                </c:pt>
                <c:pt idx="2">
                  <c:v>Electronics</c:v>
                </c:pt>
                <c:pt idx="3">
                  <c:v>Furniture</c:v>
                </c:pt>
                <c:pt idx="4">
                  <c:v>Groceries</c:v>
                </c:pt>
                <c:pt idx="5">
                  <c:v>Toys</c:v>
                </c:pt>
              </c:strCache>
            </c:strRef>
          </c:cat>
          <c:val>
            <c:numRef>
              <c:f>PivotTables!$F$6:$F$11</c:f>
              <c:numCache>
                <c:formatCode>#,##0</c:formatCode>
                <c:ptCount val="6"/>
                <c:pt idx="0">
                  <c:v>20127.38</c:v>
                </c:pt>
                <c:pt idx="1">
                  <c:v>64906.07</c:v>
                </c:pt>
                <c:pt idx="2">
                  <c:v>40471.98</c:v>
                </c:pt>
                <c:pt idx="3">
                  <c:v>98173.98</c:v>
                </c:pt>
                <c:pt idx="4">
                  <c:v>75252.97</c:v>
                </c:pt>
                <c:pt idx="5">
                  <c:v>86852.13</c:v>
                </c:pt>
              </c:numCache>
            </c:numRef>
          </c:val>
        </c:ser>
        <c:ser>
          <c:idx val="5"/>
          <c:order val="5"/>
          <c:tx>
            <c:strRef>
              <c:f>PivotTables!G5</c:f>
              <c:strCache>
                <c:ptCount val="1"/>
                <c:pt idx="0">
                  <c:v>Mansoura</c:v>
                </c:pt>
              </c:strCache>
            </c:strRef>
          </c:tx>
          <c:spPr>
            <a:solidFill>
              <a:srgbClr val="8faad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PivotTables!$A$6:$A$11</c:f>
              <c:strCache>
                <c:ptCount val="6"/>
                <c:pt idx="0">
                  <c:v>Books</c:v>
                </c:pt>
                <c:pt idx="1">
                  <c:v>Clothing</c:v>
                </c:pt>
                <c:pt idx="2">
                  <c:v>Electronics</c:v>
                </c:pt>
                <c:pt idx="3">
                  <c:v>Furniture</c:v>
                </c:pt>
                <c:pt idx="4">
                  <c:v>Groceries</c:v>
                </c:pt>
                <c:pt idx="5">
                  <c:v>Toys</c:v>
                </c:pt>
              </c:strCache>
            </c:strRef>
          </c:cat>
          <c:val>
            <c:numRef>
              <c:f>PivotTables!$G$6:$G$11</c:f>
              <c:numCache>
                <c:formatCode>#,##0</c:formatCode>
                <c:ptCount val="6"/>
                <c:pt idx="0">
                  <c:v>26074.82</c:v>
                </c:pt>
                <c:pt idx="1">
                  <c:v>36363.47</c:v>
                </c:pt>
                <c:pt idx="2">
                  <c:v>40988</c:v>
                </c:pt>
                <c:pt idx="3">
                  <c:v>31890.52</c:v>
                </c:pt>
                <c:pt idx="4">
                  <c:v>33618.41</c:v>
                </c:pt>
                <c:pt idx="5">
                  <c:v>33109.88</c:v>
                </c:pt>
              </c:numCache>
            </c:numRef>
          </c:val>
        </c:ser>
        <c:ser>
          <c:idx val="6"/>
          <c:order val="6"/>
          <c:tx>
            <c:strRef>
              <c:f>PivotTables!H5</c:f>
              <c:strCache>
                <c:ptCount val="1"/>
                <c:pt idx="0">
                  <c:v>Qena</c:v>
                </c:pt>
              </c:strCache>
            </c:strRef>
          </c:tx>
          <c:spPr>
            <a:solidFill>
              <a:srgbClr val="4472c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PivotTables!$A$6:$A$11</c:f>
              <c:strCache>
                <c:ptCount val="6"/>
                <c:pt idx="0">
                  <c:v>Books</c:v>
                </c:pt>
                <c:pt idx="1">
                  <c:v>Clothing</c:v>
                </c:pt>
                <c:pt idx="2">
                  <c:v>Electronics</c:v>
                </c:pt>
                <c:pt idx="3">
                  <c:v>Furniture</c:v>
                </c:pt>
                <c:pt idx="4">
                  <c:v>Groceries</c:v>
                </c:pt>
                <c:pt idx="5">
                  <c:v>Toys</c:v>
                </c:pt>
              </c:strCache>
            </c:strRef>
          </c:cat>
          <c:val>
            <c:numRef>
              <c:f>PivotTables!$H$6:$H$11</c:f>
              <c:numCache>
                <c:formatCode>#,##0</c:formatCode>
                <c:ptCount val="6"/>
                <c:pt idx="0">
                  <c:v>65219.01</c:v>
                </c:pt>
                <c:pt idx="1">
                  <c:v>43910.56</c:v>
                </c:pt>
                <c:pt idx="2">
                  <c:v>25455.84</c:v>
                </c:pt>
                <c:pt idx="3">
                  <c:v>7093.46</c:v>
                </c:pt>
                <c:pt idx="4">
                  <c:v>22893.8</c:v>
                </c:pt>
                <c:pt idx="5">
                  <c:v>47803.52</c:v>
                </c:pt>
              </c:numCache>
            </c:numRef>
          </c:val>
        </c:ser>
        <c:ser>
          <c:idx val="7"/>
          <c:order val="7"/>
          <c:tx>
            <c:strRef>
              <c:f>PivotTables!I5</c:f>
              <c:strCache>
                <c:ptCount val="1"/>
                <c:pt idx="0">
                  <c:v>Tanta</c:v>
                </c:pt>
              </c:strCache>
            </c:strRef>
          </c:tx>
          <c:spPr>
            <a:solidFill>
              <a:srgbClr val="30549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PivotTables!$A$6:$A$11</c:f>
              <c:strCache>
                <c:ptCount val="6"/>
                <c:pt idx="0">
                  <c:v>Books</c:v>
                </c:pt>
                <c:pt idx="1">
                  <c:v>Clothing</c:v>
                </c:pt>
                <c:pt idx="2">
                  <c:v>Electronics</c:v>
                </c:pt>
                <c:pt idx="3">
                  <c:v>Furniture</c:v>
                </c:pt>
                <c:pt idx="4">
                  <c:v>Groceries</c:v>
                </c:pt>
                <c:pt idx="5">
                  <c:v>Toys</c:v>
                </c:pt>
              </c:strCache>
            </c:strRef>
          </c:cat>
          <c:val>
            <c:numRef>
              <c:f>PivotTables!$I$6:$I$11</c:f>
              <c:numCache>
                <c:formatCode>#,##0</c:formatCode>
                <c:ptCount val="6"/>
                <c:pt idx="0">
                  <c:v>23134.86</c:v>
                </c:pt>
                <c:pt idx="1">
                  <c:v>67964.51</c:v>
                </c:pt>
                <c:pt idx="2">
                  <c:v>23640.58</c:v>
                </c:pt>
                <c:pt idx="3">
                  <c:v>35261.04</c:v>
                </c:pt>
                <c:pt idx="4">
                  <c:v>38763.06</c:v>
                </c:pt>
                <c:pt idx="5">
                  <c:v>39044.64</c:v>
                </c:pt>
              </c:numCache>
            </c:numRef>
          </c:val>
        </c:ser>
        <c:gapWidth val="150"/>
        <c:overlap val="0"/>
        <c:axId val="32631267"/>
        <c:axId val="4179848"/>
      </c:barChart>
      <c:catAx>
        <c:axId val="3263126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Product Category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79848"/>
        <c:crosses val="autoZero"/>
        <c:auto val="1"/>
        <c:lblAlgn val="ctr"/>
        <c:lblOffset val="100"/>
        <c:noMultiLvlLbl val="0"/>
      </c:catAx>
      <c:valAx>
        <c:axId val="417984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Sales (EGP)</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6312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Sales Trend</a:t>
            </a:r>
          </a:p>
        </c:rich>
      </c:tx>
      <c:overlay val="0"/>
      <c:spPr>
        <a:noFill/>
        <a:ln w="0">
          <a:noFill/>
        </a:ln>
      </c:spPr>
    </c:title>
    <c:autoTitleDeleted val="0"/>
    <c:plotArea>
      <c:lineChart>
        <c:grouping val="standard"/>
        <c:varyColors val="0"/>
        <c:ser>
          <c:idx val="0"/>
          <c:order val="0"/>
          <c:tx>
            <c:strRef>
              <c:f>PivotTables!B16</c:f>
              <c:strCache>
                <c:ptCount val="1"/>
                <c:pt idx="0">
                  <c:v>Sum of Total Sales</c:v>
                </c:pt>
              </c:strCache>
            </c:strRef>
          </c:tx>
          <c:spPr>
            <a:solidFill>
              <a:srgbClr val="2e5eaa"/>
            </a:solidFill>
            <a:ln w="24840">
              <a:solidFill>
                <a:srgbClr val="2e5ea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PivotTables!$A$17:$A$28</c:f>
              <c:strCache>
                <c:ptCount val="12"/>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strCache>
            </c:strRef>
          </c:cat>
          <c:val>
            <c:numRef>
              <c:f>PivotTables!$B$17:$B$28</c:f>
              <c:numCache>
                <c:formatCode>#,##0</c:formatCode>
                <c:ptCount val="12"/>
                <c:pt idx="0">
                  <c:v>123128.78</c:v>
                </c:pt>
                <c:pt idx="1">
                  <c:v>215230.65</c:v>
                </c:pt>
                <c:pt idx="2">
                  <c:v>77815.21</c:v>
                </c:pt>
                <c:pt idx="3">
                  <c:v>105851.89</c:v>
                </c:pt>
                <c:pt idx="4">
                  <c:v>164862.26</c:v>
                </c:pt>
                <c:pt idx="5">
                  <c:v>136949.44</c:v>
                </c:pt>
                <c:pt idx="6">
                  <c:v>152288.97</c:v>
                </c:pt>
                <c:pt idx="7">
                  <c:v>137826.77</c:v>
                </c:pt>
                <c:pt idx="8">
                  <c:v>194433.02</c:v>
                </c:pt>
                <c:pt idx="9">
                  <c:v>274748.96</c:v>
                </c:pt>
                <c:pt idx="10">
                  <c:v>206316.51</c:v>
                </c:pt>
                <c:pt idx="11">
                  <c:v>288509.66</c:v>
                </c:pt>
              </c:numCache>
            </c:numRef>
          </c:val>
          <c:smooth val="0"/>
        </c:ser>
        <c:hiLowLines>
          <c:spPr>
            <a:ln w="0">
              <a:noFill/>
            </a:ln>
          </c:spPr>
        </c:hiLowLines>
        <c:marker val="0"/>
        <c:axId val="12347784"/>
        <c:axId val="84783826"/>
      </c:lineChart>
      <c:catAx>
        <c:axId val="1234778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783826"/>
        <c:crosses val="autoZero"/>
        <c:auto val="1"/>
        <c:lblAlgn val="ctr"/>
        <c:lblOffset val="100"/>
        <c:noMultiLvlLbl val="0"/>
      </c:catAx>
      <c:valAx>
        <c:axId val="8478382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Sales (EGP)</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34778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Payment Method Breakdown (Sum of Total Sales)</a:t>
            </a:r>
          </a:p>
        </c:rich>
      </c:tx>
      <c:overlay val="0"/>
      <c:spPr>
        <a:noFill/>
        <a:ln w="0">
          <a:noFill/>
        </a:ln>
      </c:spPr>
    </c:title>
    <c:autoTitleDeleted val="0"/>
    <c:plotArea>
      <c:pieChart>
        <c:varyColors val="1"/>
        <c:ser>
          <c:idx val="0"/>
          <c:order val="0"/>
          <c:tx>
            <c:strRef>
              <c:f>PivotTables!C32</c:f>
              <c:strCache>
                <c:ptCount val="1"/>
                <c:pt idx="0">
                  <c:v>Sum of Total Sales</c:v>
                </c:pt>
              </c:strCache>
            </c:strRef>
          </c:tx>
          <c:spPr>
            <a:solidFill>
              <a:srgbClr val="1f3864"/>
            </a:solidFill>
            <a:ln w="0">
              <a:noFill/>
            </a:ln>
          </c:spPr>
          <c:explosion val="0"/>
          <c:dPt>
            <c:idx val="0"/>
            <c:spPr>
              <a:solidFill>
                <a:srgbClr val="1f3864"/>
              </a:solidFill>
              <a:ln w="0">
                <a:noFill/>
              </a:ln>
            </c:spPr>
          </c:dPt>
          <c:dPt>
            <c:idx val="1"/>
            <c:spPr>
              <a:solidFill>
                <a:srgbClr val="2e5eaa"/>
              </a:solidFill>
              <a:ln w="0">
                <a:noFill/>
              </a:ln>
            </c:spPr>
          </c:dPt>
          <c:dPt>
            <c:idx val="2"/>
            <c:spPr>
              <a:solidFill>
                <a:srgbClr val="6c9bd1"/>
              </a:solidFill>
              <a:ln w="0">
                <a:noFill/>
              </a:ln>
            </c:spPr>
          </c:dPt>
          <c:dPt>
            <c:idx val="3"/>
            <c:spPr>
              <a:solidFill>
                <a:srgbClr val="9dc3e6"/>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1"/>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1"/>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1"/>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1"/>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1"/>
            <c:showSerName val="0"/>
            <c:showPercent val="1"/>
            <c:separator>
</c:separator>
            <c:showLeaderLines val="1"/>
          </c:dLbls>
          <c:cat>
            <c:strRef>
              <c:f>PivotTables!$A$33:$A$36</c:f>
              <c:strCache>
                <c:ptCount val="4"/>
                <c:pt idx="0">
                  <c:v>Cash</c:v>
                </c:pt>
                <c:pt idx="1">
                  <c:v>Credit Card</c:v>
                </c:pt>
                <c:pt idx="2">
                  <c:v>Debit Card</c:v>
                </c:pt>
                <c:pt idx="3">
                  <c:v>Mobile Wallet</c:v>
                </c:pt>
              </c:strCache>
            </c:strRef>
          </c:cat>
          <c:val>
            <c:numRef>
              <c:f>PivotTables!$C$33:$C$36</c:f>
              <c:numCache>
                <c:formatCode>#,##0</c:formatCode>
                <c:ptCount val="4"/>
                <c:pt idx="0">
                  <c:v>563520.71</c:v>
                </c:pt>
                <c:pt idx="1">
                  <c:v>556859.54</c:v>
                </c:pt>
                <c:pt idx="2">
                  <c:v>432852.63</c:v>
                </c:pt>
                <c:pt idx="3">
                  <c:v>477580.8</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Products (Sum of Total Sales)</a:t>
            </a:r>
          </a:p>
        </c:rich>
      </c:tx>
      <c:overlay val="0"/>
      <c:spPr>
        <a:noFill/>
        <a:ln w="0">
          <a:noFill/>
        </a:ln>
      </c:spPr>
    </c:title>
    <c:autoTitleDeleted val="0"/>
    <c:plotArea>
      <c:barChart>
        <c:barDir val="bar"/>
        <c:grouping val="clustered"/>
        <c:varyColors val="0"/>
        <c:ser>
          <c:idx val="0"/>
          <c:order val="0"/>
          <c:tx>
            <c:strRef>
              <c:f>PivotTables!B53</c:f>
              <c:strCache>
                <c:ptCount val="1"/>
                <c:pt idx="0">
                  <c:v>Sum of Total Sales</c:v>
                </c:pt>
              </c:strCache>
            </c:strRef>
          </c:tx>
          <c:spPr>
            <a:solidFill>
              <a:srgbClr val="2e5ea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PivotTables!$A$54:$A$63</c:f>
              <c:strCache>
                <c:ptCount val="10"/>
                <c:pt idx="0">
                  <c:v>Jeans</c:v>
                </c:pt>
                <c:pt idx="1">
                  <c:v>Dress</c:v>
                </c:pt>
                <c:pt idx="2">
                  <c:v>T-Shirt</c:v>
                </c:pt>
                <c:pt idx="3">
                  <c:v>Sofa</c:v>
                </c:pt>
                <c:pt idx="4">
                  <c:v>Bookshelf</c:v>
                </c:pt>
                <c:pt idx="5">
                  <c:v>Tablet</c:v>
                </c:pt>
                <c:pt idx="6">
                  <c:v>Textbook</c:v>
                </c:pt>
                <c:pt idx="7">
                  <c:v>Puzzle 1000pc</c:v>
                </c:pt>
                <c:pt idx="8">
                  <c:v>Jacket</c:v>
                </c:pt>
                <c:pt idx="9">
                  <c:v>Coffee Jar</c:v>
                </c:pt>
              </c:strCache>
            </c:strRef>
          </c:cat>
          <c:val>
            <c:numRef>
              <c:f>PivotTables!$B$54:$B$63</c:f>
              <c:numCache>
                <c:formatCode>#,##0</c:formatCode>
                <c:ptCount val="10"/>
                <c:pt idx="0">
                  <c:v>90600.46</c:v>
                </c:pt>
                <c:pt idx="1">
                  <c:v>91223.51</c:v>
                </c:pt>
                <c:pt idx="2">
                  <c:v>92191.49</c:v>
                </c:pt>
                <c:pt idx="3">
                  <c:v>93542.66</c:v>
                </c:pt>
                <c:pt idx="4">
                  <c:v>96620.88</c:v>
                </c:pt>
                <c:pt idx="5">
                  <c:v>100783.57</c:v>
                </c:pt>
                <c:pt idx="6">
                  <c:v>109532.41</c:v>
                </c:pt>
                <c:pt idx="7">
                  <c:v>116491.56</c:v>
                </c:pt>
                <c:pt idx="8">
                  <c:v>120565.09</c:v>
                </c:pt>
                <c:pt idx="9">
                  <c:v>149725.1</c:v>
                </c:pt>
              </c:numCache>
            </c:numRef>
          </c:val>
        </c:ser>
        <c:gapWidth val="150"/>
        <c:overlap val="0"/>
        <c:axId val="98144779"/>
        <c:axId val="96264155"/>
      </c:barChart>
      <c:catAx>
        <c:axId val="98144779"/>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Sales (EGP)</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264155"/>
        <c:crosses val="autoZero"/>
        <c:auto val="1"/>
        <c:lblAlgn val="ctr"/>
        <c:lblOffset val="100"/>
        <c:noMultiLvlLbl val="0"/>
      </c:catAx>
      <c:valAx>
        <c:axId val="96264155"/>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Product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14477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xdr:row>
      <xdr:rowOff>0</xdr:rowOff>
    </xdr:from>
    <xdr:to>
      <xdr:col>9</xdr:col>
      <xdr:colOff>90360</xdr:colOff>
      <xdr:row>23</xdr:row>
      <xdr:rowOff>170640</xdr:rowOff>
    </xdr:to>
    <xdr:graphicFrame>
      <xdr:nvGraphicFramePr>
        <xdr:cNvPr id="0" name="Chart 1"/>
        <xdr:cNvGraphicFramePr/>
      </xdr:nvGraphicFramePr>
      <xdr:xfrm>
        <a:off x="0" y="1076400"/>
        <a:ext cx="61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5</xdr:row>
      <xdr:rowOff>0</xdr:rowOff>
    </xdr:from>
    <xdr:to>
      <xdr:col>15</xdr:col>
      <xdr:colOff>207000</xdr:colOff>
      <xdr:row>23</xdr:row>
      <xdr:rowOff>170640</xdr:rowOff>
    </xdr:to>
    <xdr:graphicFrame>
      <xdr:nvGraphicFramePr>
        <xdr:cNvPr id="1" name="Chart 2"/>
        <xdr:cNvGraphicFramePr/>
      </xdr:nvGraphicFramePr>
      <xdr:xfrm>
        <a:off x="4019400" y="1076400"/>
        <a:ext cx="611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23</xdr:row>
      <xdr:rowOff>0</xdr:rowOff>
    </xdr:from>
    <xdr:to>
      <xdr:col>9</xdr:col>
      <xdr:colOff>90360</xdr:colOff>
      <xdr:row>41</xdr:row>
      <xdr:rowOff>170640</xdr:rowOff>
    </xdr:to>
    <xdr:graphicFrame>
      <xdr:nvGraphicFramePr>
        <xdr:cNvPr id="2" name="Chart 3"/>
        <xdr:cNvGraphicFramePr/>
      </xdr:nvGraphicFramePr>
      <xdr:xfrm>
        <a:off x="0" y="4505400"/>
        <a:ext cx="611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23</xdr:row>
      <xdr:rowOff>0</xdr:rowOff>
    </xdr:from>
    <xdr:to>
      <xdr:col>15</xdr:col>
      <xdr:colOff>207000</xdr:colOff>
      <xdr:row>41</xdr:row>
      <xdr:rowOff>170640</xdr:rowOff>
    </xdr:to>
    <xdr:graphicFrame>
      <xdr:nvGraphicFramePr>
        <xdr:cNvPr id="3" name="Chart 4"/>
        <xdr:cNvGraphicFramePr/>
      </xdr:nvGraphicFramePr>
      <xdr:xfrm>
        <a:off x="4019400" y="4505400"/>
        <a:ext cx="6119640" cy="35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CleanedData" displayName="CleanedData" ref="A1:L267" headerRowCount="1" totalsRowCount="0" totalsRowShown="0">
  <autoFilter ref="A1:L267"/>
  <tableColumns count="12">
    <tableColumn id="1" name="OrderID"/>
    <tableColumn id="2" name="OrderDate"/>
    <tableColumn id="3" name="CustomerName"/>
    <tableColumn id="4" name="City"/>
    <tableColumn id="5" name="ProductCategory"/>
    <tableColumn id="6" name="ProductName"/>
    <tableColumn id="7" name="Quantity"/>
    <tableColumn id="8" name="UnitPrice"/>
    <tableColumn id="9" name="PaymentMethod"/>
    <tableColumn id="10" name="Returned"/>
    <tableColumn id="11" name="SalesRep"/>
    <tableColumn id="12" name="Total Sal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M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3" min="1" style="0" width="9.51"/>
  </cols>
  <sheetData>
    <row r="1" customFormat="false" ht="15" hidden="false" customHeight="false" outlineLevel="0" collapsed="false">
      <c r="A1" s="1" t="s">
        <v>0</v>
      </c>
      <c r="B1" s="1"/>
      <c r="C1" s="1"/>
      <c r="D1" s="1"/>
      <c r="E1" s="1"/>
      <c r="F1" s="1"/>
      <c r="G1" s="1"/>
      <c r="H1" s="1"/>
      <c r="I1" s="1"/>
      <c r="J1" s="1"/>
      <c r="K1" s="1"/>
      <c r="L1" s="1"/>
      <c r="M1" s="1"/>
    </row>
    <row r="2" customFormat="false" ht="15" hidden="false" customHeight="false" outlineLevel="0" collapsed="false">
      <c r="A2" s="1"/>
      <c r="B2" s="1"/>
      <c r="C2" s="1"/>
      <c r="D2" s="1"/>
      <c r="E2" s="1"/>
      <c r="F2" s="1"/>
      <c r="G2" s="1"/>
      <c r="H2" s="1"/>
      <c r="I2" s="1"/>
      <c r="J2" s="1"/>
      <c r="K2" s="1"/>
      <c r="L2" s="1"/>
      <c r="M2" s="1"/>
    </row>
    <row r="3" customFormat="false" ht="18" hidden="false" customHeight="true" outlineLevel="0" collapsed="false">
      <c r="A3" s="2" t="s">
        <v>1</v>
      </c>
      <c r="B3" s="2"/>
      <c r="C3" s="2"/>
      <c r="D3" s="2"/>
      <c r="E3" s="2"/>
      <c r="F3" s="2"/>
      <c r="G3" s="2"/>
      <c r="H3" s="2"/>
      <c r="I3" s="2"/>
      <c r="J3" s="2"/>
      <c r="K3" s="2"/>
      <c r="L3" s="2"/>
      <c r="M3" s="2"/>
    </row>
    <row r="4" customFormat="false" ht="21.75" hidden="false" customHeight="true" outlineLevel="0" collapsed="false">
      <c r="A4" s="3" t="s">
        <v>2</v>
      </c>
      <c r="B4" s="3"/>
      <c r="C4" s="3"/>
      <c r="E4" s="3" t="s">
        <v>3</v>
      </c>
      <c r="F4" s="3"/>
      <c r="G4" s="3"/>
      <c r="I4" s="3" t="s">
        <v>4</v>
      </c>
      <c r="J4" s="3"/>
      <c r="K4" s="3"/>
    </row>
  </sheetData>
  <mergeCells count="5">
    <mergeCell ref="A1:M2"/>
    <mergeCell ref="A3:M3"/>
    <mergeCell ref="A4:C4"/>
    <mergeCell ref="E4:G4"/>
    <mergeCell ref="I4:K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40"/>
  </cols>
  <sheetData>
    <row r="1" customFormat="false" ht="19.7" hidden="false" customHeight="false" outlineLevel="0" collapsed="false">
      <c r="A1" s="4" t="s">
        <v>5</v>
      </c>
      <c r="B1" s="4"/>
      <c r="C1" s="4"/>
    </row>
    <row r="2" customFormat="false" ht="48" hidden="false" customHeight="true" outlineLevel="0" collapsed="false">
      <c r="A2" s="5" t="s">
        <v>6</v>
      </c>
      <c r="B2" s="5"/>
      <c r="C2" s="5"/>
    </row>
    <row r="4" customFormat="false" ht="15" hidden="false" customHeight="false" outlineLevel="0" collapsed="false">
      <c r="A4" s="6" t="s">
        <v>7</v>
      </c>
      <c r="B4" s="6"/>
      <c r="C4" s="6"/>
    </row>
    <row r="5" customFormat="false" ht="18" hidden="false" customHeight="true" outlineLevel="0" collapsed="false">
      <c r="A5" s="7" t="s">
        <v>8</v>
      </c>
      <c r="B5" s="7"/>
      <c r="C5" s="7"/>
    </row>
    <row r="7" customFormat="false" ht="15" hidden="false" customHeight="false" outlineLevel="0" collapsed="false">
      <c r="A7" s="6" t="s">
        <v>9</v>
      </c>
      <c r="B7" s="6"/>
      <c r="C7" s="6"/>
    </row>
    <row r="8" customFormat="false" ht="18" hidden="false" customHeight="true" outlineLevel="0" collapsed="false">
      <c r="A8" s="7" t="s">
        <v>10</v>
      </c>
      <c r="B8" s="7"/>
      <c r="C8" s="7"/>
    </row>
    <row r="10" customFormat="false" ht="15" hidden="false" customHeight="false" outlineLevel="0" collapsed="false">
      <c r="A10" s="6" t="s">
        <v>11</v>
      </c>
      <c r="B10" s="6"/>
      <c r="C10" s="6"/>
    </row>
    <row r="11" customFormat="false" ht="75" hidden="false" customHeight="true" outlineLevel="0" collapsed="false">
      <c r="A11" s="7" t="s">
        <v>12</v>
      </c>
      <c r="B11" s="7"/>
      <c r="C11" s="7"/>
    </row>
    <row r="13" customFormat="false" ht="15" hidden="false" customHeight="false" outlineLevel="0" collapsed="false">
      <c r="A13" s="6" t="s">
        <v>13</v>
      </c>
      <c r="B13" s="6"/>
      <c r="C13" s="6"/>
    </row>
    <row r="14" customFormat="false" ht="18" hidden="false" customHeight="true" outlineLevel="0" collapsed="false">
      <c r="A14" s="7" t="s">
        <v>14</v>
      </c>
      <c r="B14" s="7"/>
      <c r="C14" s="7"/>
    </row>
    <row r="16" customFormat="false" ht="15" hidden="false" customHeight="false" outlineLevel="0" collapsed="false">
      <c r="A16" s="6" t="s">
        <v>15</v>
      </c>
      <c r="B16" s="6"/>
      <c r="C16" s="6"/>
    </row>
    <row r="17" customFormat="false" ht="18" hidden="false" customHeight="true" outlineLevel="0" collapsed="false">
      <c r="A17" s="7" t="s">
        <v>16</v>
      </c>
      <c r="B17" s="7"/>
      <c r="C17" s="7"/>
    </row>
    <row r="19" customFormat="false" ht="15" hidden="false" customHeight="false" outlineLevel="0" collapsed="false">
      <c r="A19" s="6" t="s">
        <v>17</v>
      </c>
      <c r="B19" s="6"/>
      <c r="C19" s="6"/>
    </row>
    <row r="20" customFormat="false" ht="18" hidden="false" customHeight="true" outlineLevel="0" collapsed="false">
      <c r="A20" s="7" t="s">
        <v>18</v>
      </c>
      <c r="B20" s="7"/>
      <c r="C20" s="7"/>
    </row>
    <row r="22" customFormat="false" ht="15" hidden="false" customHeight="false" outlineLevel="0" collapsed="false">
      <c r="A22" s="6" t="s">
        <v>19</v>
      </c>
      <c r="B22" s="6"/>
      <c r="C22" s="6"/>
    </row>
    <row r="23" customFormat="false" ht="18" hidden="false" customHeight="true" outlineLevel="0" collapsed="false">
      <c r="A23" s="7" t="s">
        <v>20</v>
      </c>
      <c r="B23" s="7"/>
      <c r="C23" s="7"/>
    </row>
    <row r="25" customFormat="false" ht="15" hidden="false" customHeight="false" outlineLevel="0" collapsed="false">
      <c r="A25" s="6" t="s">
        <v>21</v>
      </c>
      <c r="B25" s="6"/>
      <c r="C25" s="6"/>
    </row>
    <row r="26" customFormat="false" ht="18" hidden="false" customHeight="true" outlineLevel="0" collapsed="false">
      <c r="A26" s="7" t="s">
        <v>22</v>
      </c>
      <c r="B26" s="7"/>
      <c r="C26" s="7"/>
    </row>
    <row r="29" customFormat="false" ht="60" hidden="false" customHeight="true" outlineLevel="0" collapsed="false">
      <c r="A29" s="8" t="s">
        <v>23</v>
      </c>
      <c r="B29" s="8"/>
      <c r="C29" s="8"/>
    </row>
  </sheetData>
  <mergeCells count="19">
    <mergeCell ref="A1:C1"/>
    <mergeCell ref="A2:C2"/>
    <mergeCell ref="A4:C4"/>
    <mergeCell ref="A5:C5"/>
    <mergeCell ref="A7:C7"/>
    <mergeCell ref="A8:C8"/>
    <mergeCell ref="A10:C10"/>
    <mergeCell ref="A11:C11"/>
    <mergeCell ref="A13:C13"/>
    <mergeCell ref="A14:C14"/>
    <mergeCell ref="A16:C16"/>
    <mergeCell ref="A17:C17"/>
    <mergeCell ref="A19:C19"/>
    <mergeCell ref="A20:C20"/>
    <mergeCell ref="A22:C22"/>
    <mergeCell ref="A23:C23"/>
    <mergeCell ref="A25:C25"/>
    <mergeCell ref="A26:C26"/>
    <mergeCell ref="A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1" min="1" style="0" width="16"/>
  </cols>
  <sheetData>
    <row r="1" customFormat="false" ht="15" hidden="false" customHeight="false" outlineLevel="0" collapsed="false">
      <c r="A1" s="9" t="s">
        <v>24</v>
      </c>
      <c r="B1" s="9" t="s">
        <v>25</v>
      </c>
      <c r="C1" s="9" t="s">
        <v>26</v>
      </c>
      <c r="D1" s="9" t="s">
        <v>27</v>
      </c>
      <c r="E1" s="9" t="s">
        <v>28</v>
      </c>
      <c r="F1" s="9" t="s">
        <v>29</v>
      </c>
      <c r="G1" s="9" t="s">
        <v>30</v>
      </c>
      <c r="H1" s="9" t="s">
        <v>31</v>
      </c>
      <c r="I1" s="9" t="s">
        <v>32</v>
      </c>
      <c r="J1" s="9" t="s">
        <v>33</v>
      </c>
      <c r="K1" s="9" t="s">
        <v>34</v>
      </c>
    </row>
    <row r="2" customFormat="false" ht="15" hidden="false" customHeight="false" outlineLevel="0" collapsed="false">
      <c r="A2" s="0" t="n">
        <v>1058</v>
      </c>
      <c r="B2" s="10" t="n">
        <v>45634</v>
      </c>
      <c r="C2" s="11" t="s">
        <v>35</v>
      </c>
      <c r="D2" s="11" t="s">
        <v>36</v>
      </c>
      <c r="E2" s="11" t="s">
        <v>37</v>
      </c>
      <c r="F2" s="11" t="s">
        <v>38</v>
      </c>
      <c r="G2" s="0" t="n">
        <v>8</v>
      </c>
      <c r="H2" s="0" t="n">
        <v>2104.41</v>
      </c>
      <c r="I2" s="11" t="s">
        <v>39</v>
      </c>
      <c r="J2" s="11" t="s">
        <v>40</v>
      </c>
      <c r="K2" s="11" t="s">
        <v>41</v>
      </c>
    </row>
    <row r="3" customFormat="false" ht="15" hidden="false" customHeight="false" outlineLevel="0" collapsed="false">
      <c r="A3" s="0" t="n">
        <v>1279</v>
      </c>
      <c r="B3" s="10" t="n">
        <v>45471</v>
      </c>
      <c r="C3" s="11" t="s">
        <v>42</v>
      </c>
      <c r="D3" s="11" t="s">
        <v>43</v>
      </c>
      <c r="E3" s="11" t="s">
        <v>44</v>
      </c>
      <c r="F3" s="11" t="s">
        <v>45</v>
      </c>
      <c r="G3" s="0" t="n">
        <v>4</v>
      </c>
      <c r="H3" s="0" t="n">
        <v>845.36</v>
      </c>
      <c r="I3" s="11" t="s">
        <v>46</v>
      </c>
      <c r="J3" s="11" t="s">
        <v>40</v>
      </c>
      <c r="K3" s="11" t="s">
        <v>47</v>
      </c>
    </row>
    <row r="4" customFormat="false" ht="15" hidden="false" customHeight="false" outlineLevel="0" collapsed="false">
      <c r="A4" s="0" t="n">
        <v>1265</v>
      </c>
      <c r="B4" s="10" t="n">
        <v>45644</v>
      </c>
      <c r="C4" s="11" t="s">
        <v>48</v>
      </c>
      <c r="D4" s="11" t="s">
        <v>49</v>
      </c>
      <c r="E4" s="11" t="s">
        <v>50</v>
      </c>
      <c r="F4" s="11" t="s">
        <v>51</v>
      </c>
      <c r="G4" s="0" t="n">
        <v>3</v>
      </c>
      <c r="H4" s="0" t="n">
        <v>1856.13</v>
      </c>
      <c r="I4" s="11" t="s">
        <v>52</v>
      </c>
      <c r="J4" s="11" t="s">
        <v>40</v>
      </c>
      <c r="K4" s="11" t="s">
        <v>53</v>
      </c>
    </row>
    <row r="5" customFormat="false" ht="15" hidden="false" customHeight="false" outlineLevel="0" collapsed="false">
      <c r="A5" s="0" t="n">
        <v>1228</v>
      </c>
      <c r="B5" s="10" t="n">
        <v>45566</v>
      </c>
      <c r="C5" s="11" t="s">
        <v>54</v>
      </c>
      <c r="D5" s="11" t="s">
        <v>49</v>
      </c>
      <c r="E5" s="11" t="s">
        <v>44</v>
      </c>
      <c r="F5" s="11" t="s">
        <v>55</v>
      </c>
      <c r="H5" s="0" t="n">
        <v>338.91</v>
      </c>
      <c r="I5" s="11" t="s">
        <v>56</v>
      </c>
      <c r="J5" s="11" t="s">
        <v>57</v>
      </c>
      <c r="K5" s="11" t="s">
        <v>58</v>
      </c>
    </row>
    <row r="6" customFormat="false" ht="15" hidden="false" customHeight="false" outlineLevel="0" collapsed="false">
      <c r="A6" s="0" t="n">
        <v>1165</v>
      </c>
      <c r="B6" s="10" t="n">
        <v>45652</v>
      </c>
      <c r="D6" s="11" t="s">
        <v>59</v>
      </c>
      <c r="E6" s="11" t="s">
        <v>60</v>
      </c>
      <c r="F6" s="11" t="s">
        <v>61</v>
      </c>
      <c r="G6" s="0" t="n">
        <v>8</v>
      </c>
      <c r="H6" s="0" t="n">
        <v>616.53</v>
      </c>
      <c r="I6" s="11" t="s">
        <v>52</v>
      </c>
      <c r="J6" s="11" t="s">
        <v>62</v>
      </c>
      <c r="K6" s="11" t="s">
        <v>63</v>
      </c>
    </row>
    <row r="7" customFormat="false" ht="15" hidden="false" customHeight="false" outlineLevel="0" collapsed="false">
      <c r="A7" s="0" t="n">
        <v>1119</v>
      </c>
      <c r="B7" s="10" t="n">
        <v>45579</v>
      </c>
      <c r="C7" s="11" t="s">
        <v>64</v>
      </c>
      <c r="D7" s="11" t="s">
        <v>65</v>
      </c>
      <c r="E7" s="11" t="s">
        <v>66</v>
      </c>
      <c r="F7" s="11" t="s">
        <v>67</v>
      </c>
      <c r="G7" s="0" t="n">
        <v>7</v>
      </c>
      <c r="H7" s="0" t="n">
        <v>1073.72</v>
      </c>
      <c r="I7" s="11" t="s">
        <v>68</v>
      </c>
      <c r="J7" s="11" t="s">
        <v>69</v>
      </c>
      <c r="K7" s="11" t="s">
        <v>47</v>
      </c>
    </row>
    <row r="8" customFormat="false" ht="15" hidden="false" customHeight="false" outlineLevel="0" collapsed="false">
      <c r="A8" s="0" t="n">
        <v>1253</v>
      </c>
      <c r="B8" s="10" t="n">
        <v>45638</v>
      </c>
      <c r="C8" s="11" t="s">
        <v>70</v>
      </c>
      <c r="D8" s="11" t="s">
        <v>71</v>
      </c>
      <c r="E8" s="11" t="s">
        <v>50</v>
      </c>
      <c r="F8" s="11" t="s">
        <v>72</v>
      </c>
      <c r="G8" s="0" t="n">
        <v>9</v>
      </c>
      <c r="H8" s="0" t="n">
        <v>539.87</v>
      </c>
      <c r="I8" s="11" t="s">
        <v>52</v>
      </c>
      <c r="J8" s="11" t="s">
        <v>73</v>
      </c>
      <c r="K8" s="11" t="s">
        <v>74</v>
      </c>
    </row>
    <row r="9" customFormat="false" ht="15" hidden="false" customHeight="false" outlineLevel="0" collapsed="false">
      <c r="A9" s="0" t="n">
        <v>1202</v>
      </c>
      <c r="B9" s="10" t="n">
        <v>45643</v>
      </c>
      <c r="D9" s="11" t="s">
        <v>59</v>
      </c>
      <c r="E9" s="11" t="s">
        <v>37</v>
      </c>
      <c r="F9" s="11" t="s">
        <v>38</v>
      </c>
      <c r="G9" s="0" t="n">
        <v>2</v>
      </c>
      <c r="H9" s="0" t="n">
        <v>1923.36</v>
      </c>
      <c r="I9" s="11" t="s">
        <v>75</v>
      </c>
      <c r="J9" s="11" t="s">
        <v>76</v>
      </c>
      <c r="K9" s="11" t="s">
        <v>58</v>
      </c>
    </row>
    <row r="10" customFormat="false" ht="15" hidden="false" customHeight="false" outlineLevel="0" collapsed="false">
      <c r="A10" s="0" t="n">
        <v>1257</v>
      </c>
      <c r="B10" s="10" t="n">
        <v>45470</v>
      </c>
      <c r="C10" s="11" t="s">
        <v>48</v>
      </c>
      <c r="D10" s="11" t="s">
        <v>77</v>
      </c>
      <c r="E10" s="11" t="s">
        <v>66</v>
      </c>
      <c r="F10" s="11" t="s">
        <v>78</v>
      </c>
      <c r="G10" s="0" t="n">
        <v>10</v>
      </c>
      <c r="H10" s="0" t="n">
        <v>534.13</v>
      </c>
      <c r="I10" s="11" t="s">
        <v>39</v>
      </c>
      <c r="J10" s="11" t="s">
        <v>79</v>
      </c>
      <c r="K10" s="11" t="s">
        <v>80</v>
      </c>
    </row>
    <row r="11" customFormat="false" ht="15" hidden="false" customHeight="false" outlineLevel="0" collapsed="false">
      <c r="A11" s="0" t="n">
        <v>1055</v>
      </c>
      <c r="B11" s="10" t="n">
        <v>45361</v>
      </c>
      <c r="C11" s="11" t="s">
        <v>81</v>
      </c>
      <c r="D11" s="11" t="s">
        <v>82</v>
      </c>
      <c r="E11" s="11" t="s">
        <v>83</v>
      </c>
      <c r="F11" s="11" t="s">
        <v>84</v>
      </c>
      <c r="G11" s="0" t="n">
        <v>5</v>
      </c>
      <c r="H11" s="0" t="n">
        <v>1149.73</v>
      </c>
      <c r="I11" s="11" t="s">
        <v>52</v>
      </c>
      <c r="J11" s="11" t="s">
        <v>85</v>
      </c>
      <c r="K11" s="11" t="s">
        <v>86</v>
      </c>
    </row>
    <row r="12" customFormat="false" ht="15" hidden="false" customHeight="false" outlineLevel="0" collapsed="false">
      <c r="A12" s="0" t="n">
        <v>1199</v>
      </c>
      <c r="B12" s="10" t="n">
        <v>45381</v>
      </c>
      <c r="C12" s="11" t="s">
        <v>87</v>
      </c>
      <c r="D12" s="11" t="s">
        <v>49</v>
      </c>
      <c r="E12" s="11" t="s">
        <v>66</v>
      </c>
      <c r="F12" s="11" t="s">
        <v>88</v>
      </c>
      <c r="G12" s="0" t="n">
        <v>7</v>
      </c>
      <c r="H12" s="0" t="n">
        <v>1555.54</v>
      </c>
      <c r="I12" s="11" t="s">
        <v>46</v>
      </c>
      <c r="J12" s="11" t="s">
        <v>89</v>
      </c>
      <c r="K12" s="11" t="s">
        <v>41</v>
      </c>
    </row>
    <row r="13" customFormat="false" ht="15" hidden="false" customHeight="false" outlineLevel="0" collapsed="false">
      <c r="A13" s="0" t="n">
        <v>1132</v>
      </c>
      <c r="B13" s="10" t="n">
        <v>45412</v>
      </c>
      <c r="D13" s="11" t="s">
        <v>90</v>
      </c>
      <c r="E13" s="11" t="s">
        <v>60</v>
      </c>
      <c r="F13" s="11" t="s">
        <v>91</v>
      </c>
      <c r="G13" s="0" t="n">
        <v>4</v>
      </c>
      <c r="H13" s="0" t="n">
        <v>537.03</v>
      </c>
      <c r="I13" s="11" t="s">
        <v>52</v>
      </c>
      <c r="J13" s="11" t="s">
        <v>62</v>
      </c>
      <c r="K13" s="11" t="s">
        <v>80</v>
      </c>
    </row>
    <row r="14" customFormat="false" ht="15" hidden="false" customHeight="false" outlineLevel="0" collapsed="false">
      <c r="A14" s="0" t="n">
        <v>1112</v>
      </c>
      <c r="B14" s="10" t="n">
        <v>45318</v>
      </c>
      <c r="C14" s="11" t="s">
        <v>92</v>
      </c>
      <c r="D14" s="11" t="s">
        <v>49</v>
      </c>
      <c r="E14" s="11" t="s">
        <v>37</v>
      </c>
      <c r="F14" s="11" t="s">
        <v>93</v>
      </c>
      <c r="G14" s="0" t="n">
        <v>9</v>
      </c>
      <c r="H14" s="0" t="n">
        <v>358.67</v>
      </c>
      <c r="I14" s="11" t="s">
        <v>46</v>
      </c>
      <c r="J14" s="11" t="s">
        <v>89</v>
      </c>
      <c r="K14" s="11" t="s">
        <v>63</v>
      </c>
    </row>
    <row r="15" customFormat="false" ht="15" hidden="false" customHeight="false" outlineLevel="0" collapsed="false">
      <c r="A15" s="0" t="n">
        <v>1197</v>
      </c>
      <c r="B15" s="10" t="n">
        <v>45600</v>
      </c>
      <c r="C15" s="11" t="s">
        <v>94</v>
      </c>
      <c r="D15" s="11" t="s">
        <v>59</v>
      </c>
      <c r="E15" s="11" t="s">
        <v>60</v>
      </c>
      <c r="F15" s="11" t="s">
        <v>95</v>
      </c>
      <c r="G15" s="0" t="n">
        <v>8</v>
      </c>
      <c r="H15" s="11" t="s">
        <v>96</v>
      </c>
      <c r="I15" s="11" t="s">
        <v>68</v>
      </c>
      <c r="J15" s="11" t="s">
        <v>69</v>
      </c>
      <c r="K15" s="11" t="s">
        <v>63</v>
      </c>
    </row>
    <row r="16" customFormat="false" ht="15" hidden="false" customHeight="false" outlineLevel="0" collapsed="false">
      <c r="A16" s="0" t="n">
        <v>1038</v>
      </c>
      <c r="B16" s="10" t="n">
        <v>45461</v>
      </c>
      <c r="E16" s="11" t="s">
        <v>50</v>
      </c>
      <c r="F16" s="11" t="s">
        <v>51</v>
      </c>
      <c r="H16" s="0" t="n">
        <v>1750.16</v>
      </c>
      <c r="I16" s="11" t="s">
        <v>39</v>
      </c>
      <c r="J16" s="11" t="s">
        <v>57</v>
      </c>
      <c r="K16" s="11" t="s">
        <v>41</v>
      </c>
    </row>
    <row r="17" customFormat="false" ht="15" hidden="false" customHeight="false" outlineLevel="0" collapsed="false">
      <c r="A17" s="0" t="n">
        <v>1275</v>
      </c>
      <c r="B17" s="10" t="n">
        <v>45557</v>
      </c>
      <c r="D17" s="11" t="s">
        <v>82</v>
      </c>
      <c r="E17" s="11" t="s">
        <v>66</v>
      </c>
      <c r="F17" s="11" t="s">
        <v>88</v>
      </c>
      <c r="G17" s="0" t="n">
        <v>6</v>
      </c>
      <c r="H17" s="0" t="n">
        <v>2454.98</v>
      </c>
      <c r="I17" s="11" t="s">
        <v>68</v>
      </c>
      <c r="J17" s="11" t="s">
        <v>69</v>
      </c>
      <c r="K17" s="11" t="s">
        <v>63</v>
      </c>
    </row>
    <row r="18" customFormat="false" ht="15" hidden="false" customHeight="false" outlineLevel="0" collapsed="false">
      <c r="A18" s="0" t="n">
        <v>1110</v>
      </c>
      <c r="B18" s="10" t="n">
        <v>45592</v>
      </c>
      <c r="C18" s="11" t="s">
        <v>97</v>
      </c>
      <c r="D18" s="11" t="s">
        <v>36</v>
      </c>
      <c r="E18" s="11" t="s">
        <v>66</v>
      </c>
      <c r="F18" s="11" t="s">
        <v>88</v>
      </c>
      <c r="G18" s="0" t="n">
        <v>6</v>
      </c>
      <c r="H18" s="0" t="n">
        <v>2327.62</v>
      </c>
      <c r="I18" s="11" t="s">
        <v>46</v>
      </c>
      <c r="J18" s="11" t="s">
        <v>89</v>
      </c>
      <c r="K18" s="11" t="s">
        <v>80</v>
      </c>
    </row>
    <row r="19" customFormat="false" ht="15" hidden="false" customHeight="false" outlineLevel="0" collapsed="false">
      <c r="A19" s="0" t="n">
        <v>1160</v>
      </c>
      <c r="B19" s="10" t="n">
        <v>45448</v>
      </c>
      <c r="C19" s="11" t="s">
        <v>98</v>
      </c>
      <c r="D19" s="11" t="s">
        <v>49</v>
      </c>
      <c r="E19" s="11" t="s">
        <v>50</v>
      </c>
      <c r="F19" s="11" t="s">
        <v>99</v>
      </c>
      <c r="G19" s="0" t="n">
        <v>3</v>
      </c>
      <c r="H19" s="11" t="s">
        <v>100</v>
      </c>
      <c r="I19" s="11" t="s">
        <v>39</v>
      </c>
      <c r="J19" s="11" t="s">
        <v>85</v>
      </c>
      <c r="K19" s="11" t="s">
        <v>53</v>
      </c>
    </row>
    <row r="20" customFormat="false" ht="15" hidden="false" customHeight="false" outlineLevel="0" collapsed="false">
      <c r="A20" s="0" t="n">
        <v>1251</v>
      </c>
      <c r="B20" s="10" t="n">
        <v>45351</v>
      </c>
      <c r="C20" s="11" t="s">
        <v>101</v>
      </c>
      <c r="D20" s="11" t="s">
        <v>59</v>
      </c>
      <c r="E20" s="11" t="s">
        <v>102</v>
      </c>
      <c r="F20" s="11" t="s">
        <v>103</v>
      </c>
      <c r="G20" s="0" t="n">
        <v>6</v>
      </c>
      <c r="H20" s="0" t="n">
        <v>1376.89</v>
      </c>
      <c r="I20" s="11" t="s">
        <v>52</v>
      </c>
      <c r="J20" s="11" t="s">
        <v>104</v>
      </c>
      <c r="K20" s="11" t="s">
        <v>86</v>
      </c>
    </row>
    <row r="21" customFormat="false" ht="15" hidden="false" customHeight="false" outlineLevel="0" collapsed="false">
      <c r="A21" s="0" t="n">
        <v>1181</v>
      </c>
      <c r="B21" s="10" t="n">
        <v>45497</v>
      </c>
      <c r="C21" s="11" t="s">
        <v>105</v>
      </c>
      <c r="D21" s="11" t="s">
        <v>36</v>
      </c>
      <c r="E21" s="11" t="s">
        <v>60</v>
      </c>
      <c r="F21" s="11" t="s">
        <v>106</v>
      </c>
      <c r="G21" s="0" t="n">
        <v>6</v>
      </c>
      <c r="H21" s="0" t="n">
        <v>1668.6</v>
      </c>
      <c r="I21" s="11" t="s">
        <v>46</v>
      </c>
      <c r="J21" s="11" t="s">
        <v>73</v>
      </c>
      <c r="K21" s="11" t="s">
        <v>63</v>
      </c>
    </row>
    <row r="22" customFormat="false" ht="15" hidden="false" customHeight="false" outlineLevel="0" collapsed="false">
      <c r="A22" s="0" t="n">
        <v>1123</v>
      </c>
      <c r="B22" s="10" t="n">
        <v>45338</v>
      </c>
      <c r="C22" s="11" t="s">
        <v>107</v>
      </c>
      <c r="D22" s="11" t="s">
        <v>49</v>
      </c>
      <c r="E22" s="11" t="s">
        <v>37</v>
      </c>
      <c r="F22" s="11" t="s">
        <v>108</v>
      </c>
      <c r="G22" s="0" t="n">
        <v>7</v>
      </c>
      <c r="H22" s="0" t="n">
        <v>0</v>
      </c>
      <c r="I22" s="11" t="s">
        <v>52</v>
      </c>
      <c r="J22" s="11" t="s">
        <v>104</v>
      </c>
      <c r="K22" s="11" t="s">
        <v>47</v>
      </c>
    </row>
    <row r="23" customFormat="false" ht="15" hidden="false" customHeight="false" outlineLevel="0" collapsed="false">
      <c r="A23" s="0" t="n">
        <v>1042</v>
      </c>
      <c r="B23" s="10" t="n">
        <v>45638</v>
      </c>
      <c r="C23" s="11" t="s">
        <v>109</v>
      </c>
      <c r="D23" s="11" t="s">
        <v>59</v>
      </c>
      <c r="E23" s="11" t="s">
        <v>102</v>
      </c>
      <c r="F23" s="11" t="s">
        <v>110</v>
      </c>
      <c r="G23" s="0" t="n">
        <v>7</v>
      </c>
      <c r="H23" s="0" t="n">
        <v>1652.85</v>
      </c>
      <c r="I23" s="11" t="s">
        <v>46</v>
      </c>
      <c r="J23" s="11" t="s">
        <v>85</v>
      </c>
      <c r="K23" s="11" t="s">
        <v>47</v>
      </c>
    </row>
    <row r="24" customFormat="false" ht="15" hidden="false" customHeight="false" outlineLevel="0" collapsed="false">
      <c r="A24" s="0" t="n">
        <v>1148</v>
      </c>
      <c r="B24" s="10" t="n">
        <v>45319</v>
      </c>
      <c r="C24" s="11" t="s">
        <v>111</v>
      </c>
      <c r="D24" s="11" t="s">
        <v>112</v>
      </c>
      <c r="E24" s="11" t="s">
        <v>83</v>
      </c>
      <c r="F24" s="11" t="s">
        <v>84</v>
      </c>
      <c r="G24" s="0" t="n">
        <v>4</v>
      </c>
      <c r="H24" s="0" t="n">
        <v>1170.78</v>
      </c>
      <c r="I24" s="11" t="s">
        <v>46</v>
      </c>
      <c r="J24" s="11" t="s">
        <v>89</v>
      </c>
      <c r="K24" s="11" t="s">
        <v>58</v>
      </c>
    </row>
    <row r="25" customFormat="false" ht="15" hidden="false" customHeight="false" outlineLevel="0" collapsed="false">
      <c r="A25" s="0" t="n">
        <v>1065</v>
      </c>
      <c r="B25" s="10" t="n">
        <v>45466</v>
      </c>
      <c r="C25" s="11" t="s">
        <v>113</v>
      </c>
      <c r="D25" s="11" t="s">
        <v>59</v>
      </c>
      <c r="E25" s="11" t="s">
        <v>60</v>
      </c>
      <c r="F25" s="11" t="s">
        <v>61</v>
      </c>
      <c r="G25" s="0" t="n">
        <v>9</v>
      </c>
      <c r="H25" s="0" t="n">
        <v>50.25</v>
      </c>
      <c r="J25" s="11" t="s">
        <v>40</v>
      </c>
      <c r="K25" s="11" t="s">
        <v>58</v>
      </c>
    </row>
    <row r="26" customFormat="false" ht="15" hidden="false" customHeight="false" outlineLevel="0" collapsed="false">
      <c r="A26" s="0" t="n">
        <v>1086</v>
      </c>
      <c r="B26" s="10" t="n">
        <v>45504</v>
      </c>
      <c r="C26" s="11" t="s">
        <v>114</v>
      </c>
      <c r="D26" s="11" t="s">
        <v>36</v>
      </c>
      <c r="E26" s="11" t="s">
        <v>66</v>
      </c>
      <c r="F26" s="11" t="s">
        <v>55</v>
      </c>
      <c r="G26" s="0" t="n">
        <v>8</v>
      </c>
      <c r="H26" s="0" t="n">
        <v>1662.77</v>
      </c>
      <c r="I26" s="11" t="s">
        <v>68</v>
      </c>
      <c r="J26" s="11" t="s">
        <v>115</v>
      </c>
      <c r="K26" s="11" t="s">
        <v>80</v>
      </c>
    </row>
    <row r="27" customFormat="false" ht="15" hidden="false" customHeight="false" outlineLevel="0" collapsed="false">
      <c r="A27" s="0" t="n">
        <v>1180</v>
      </c>
      <c r="B27" s="10" t="n">
        <v>45597</v>
      </c>
      <c r="C27" s="11" t="s">
        <v>116</v>
      </c>
      <c r="D27" s="11" t="s">
        <v>82</v>
      </c>
      <c r="E27" s="11" t="s">
        <v>60</v>
      </c>
      <c r="F27" s="11" t="s">
        <v>117</v>
      </c>
      <c r="G27" s="0" t="n">
        <v>2</v>
      </c>
      <c r="H27" s="0" t="n">
        <v>1304.16</v>
      </c>
      <c r="I27" s="11" t="s">
        <v>39</v>
      </c>
      <c r="J27" s="11" t="s">
        <v>73</v>
      </c>
      <c r="K27" s="11" t="s">
        <v>74</v>
      </c>
    </row>
    <row r="28" customFormat="false" ht="15" hidden="false" customHeight="false" outlineLevel="0" collapsed="false">
      <c r="A28" s="0" t="n">
        <v>1174</v>
      </c>
      <c r="B28" s="10" t="n">
        <v>45546</v>
      </c>
      <c r="C28" s="11" t="s">
        <v>118</v>
      </c>
      <c r="D28" s="11" t="s">
        <v>59</v>
      </c>
      <c r="E28" s="11" t="s">
        <v>66</v>
      </c>
      <c r="F28" s="11" t="s">
        <v>78</v>
      </c>
      <c r="G28" s="0" t="n">
        <v>8</v>
      </c>
      <c r="H28" s="0" t="n">
        <v>749.74</v>
      </c>
      <c r="I28" s="11" t="s">
        <v>68</v>
      </c>
      <c r="J28" s="11" t="s">
        <v>104</v>
      </c>
      <c r="K28" s="11" t="s">
        <v>63</v>
      </c>
    </row>
    <row r="29" customFormat="false" ht="15" hidden="false" customHeight="false" outlineLevel="0" collapsed="false">
      <c r="A29" s="0" t="n">
        <v>1266</v>
      </c>
      <c r="B29" s="10" t="n">
        <v>45564</v>
      </c>
      <c r="C29" s="11" t="s">
        <v>113</v>
      </c>
      <c r="D29" s="11" t="s">
        <v>43</v>
      </c>
      <c r="E29" s="11" t="s">
        <v>66</v>
      </c>
      <c r="F29" s="11" t="s">
        <v>55</v>
      </c>
      <c r="G29" s="0" t="n">
        <v>6</v>
      </c>
      <c r="H29" s="0" t="n">
        <v>2937.42</v>
      </c>
      <c r="I29" s="11" t="s">
        <v>39</v>
      </c>
      <c r="J29" s="11" t="s">
        <v>104</v>
      </c>
      <c r="K29" s="11" t="s">
        <v>47</v>
      </c>
    </row>
    <row r="30" customFormat="false" ht="15" hidden="false" customHeight="false" outlineLevel="0" collapsed="false">
      <c r="A30" s="0" t="n">
        <v>1254</v>
      </c>
      <c r="B30" s="10" t="n">
        <v>45499</v>
      </c>
      <c r="C30" s="11" t="s">
        <v>119</v>
      </c>
      <c r="D30" s="11" t="s">
        <v>49</v>
      </c>
      <c r="E30" s="11" t="s">
        <v>120</v>
      </c>
      <c r="F30" s="11" t="s">
        <v>121</v>
      </c>
      <c r="G30" s="0" t="n">
        <v>-7</v>
      </c>
      <c r="H30" s="0" t="n">
        <v>106.99</v>
      </c>
      <c r="I30" s="11" t="s">
        <v>52</v>
      </c>
      <c r="J30" s="11" t="s">
        <v>122</v>
      </c>
      <c r="K30" s="11" t="s">
        <v>74</v>
      </c>
    </row>
    <row r="31" customFormat="false" ht="15" hidden="false" customHeight="false" outlineLevel="0" collapsed="false">
      <c r="A31" s="0" t="n">
        <v>1176</v>
      </c>
      <c r="B31" s="10" t="n">
        <v>45496</v>
      </c>
      <c r="C31" s="11" t="s">
        <v>123</v>
      </c>
      <c r="D31" s="11" t="s">
        <v>112</v>
      </c>
      <c r="E31" s="11" t="s">
        <v>50</v>
      </c>
      <c r="F31" s="11" t="s">
        <v>99</v>
      </c>
      <c r="G31" s="0" t="n">
        <v>9</v>
      </c>
      <c r="H31" s="0" t="n">
        <v>1693.72</v>
      </c>
      <c r="I31" s="11" t="s">
        <v>39</v>
      </c>
      <c r="J31" s="11" t="s">
        <v>40</v>
      </c>
    </row>
    <row r="32" customFormat="false" ht="15" hidden="false" customHeight="false" outlineLevel="0" collapsed="false">
      <c r="A32" s="0" t="n">
        <v>1107</v>
      </c>
      <c r="B32" s="10" t="n">
        <v>45542</v>
      </c>
      <c r="C32" s="11" t="s">
        <v>124</v>
      </c>
      <c r="D32" s="11" t="s">
        <v>59</v>
      </c>
      <c r="E32" s="11" t="s">
        <v>50</v>
      </c>
      <c r="F32" s="11" t="s">
        <v>72</v>
      </c>
      <c r="G32" s="0" t="n">
        <v>1</v>
      </c>
      <c r="H32" s="0" t="n">
        <v>2077.04</v>
      </c>
      <c r="I32" s="11" t="s">
        <v>52</v>
      </c>
      <c r="J32" s="11" t="s">
        <v>85</v>
      </c>
      <c r="K32" s="11" t="s">
        <v>63</v>
      </c>
    </row>
    <row r="33" customFormat="false" ht="15" hidden="false" customHeight="false" outlineLevel="0" collapsed="false">
      <c r="A33" s="0" t="n">
        <v>1158</v>
      </c>
      <c r="B33" s="10" t="n">
        <v>45496</v>
      </c>
      <c r="C33" s="11" t="s">
        <v>125</v>
      </c>
      <c r="D33" s="11" t="s">
        <v>112</v>
      </c>
      <c r="E33" s="11" t="s">
        <v>60</v>
      </c>
      <c r="F33" s="11" t="s">
        <v>117</v>
      </c>
      <c r="G33" s="0" t="n">
        <v>3</v>
      </c>
      <c r="H33" s="0" t="n">
        <v>0</v>
      </c>
      <c r="I33" s="11" t="s">
        <v>68</v>
      </c>
      <c r="J33" s="11" t="s">
        <v>76</v>
      </c>
      <c r="K33" s="11" t="s">
        <v>47</v>
      </c>
    </row>
    <row r="34" customFormat="false" ht="15" hidden="false" customHeight="false" outlineLevel="0" collapsed="false">
      <c r="A34" s="0" t="n">
        <v>1246</v>
      </c>
      <c r="B34" s="10" t="n">
        <v>45501</v>
      </c>
      <c r="C34" s="11" t="s">
        <v>80</v>
      </c>
      <c r="D34" s="11" t="s">
        <v>59</v>
      </c>
      <c r="E34" s="11" t="s">
        <v>60</v>
      </c>
      <c r="F34" s="11" t="s">
        <v>106</v>
      </c>
      <c r="G34" s="0" t="n">
        <v>4</v>
      </c>
      <c r="H34" s="0" t="n">
        <v>772.99</v>
      </c>
      <c r="I34" s="11" t="s">
        <v>52</v>
      </c>
      <c r="J34" s="11" t="s">
        <v>122</v>
      </c>
      <c r="K34" s="11" t="s">
        <v>74</v>
      </c>
    </row>
    <row r="35" customFormat="false" ht="15" hidden="false" customHeight="false" outlineLevel="0" collapsed="false">
      <c r="A35" s="0" t="n">
        <v>1256</v>
      </c>
      <c r="C35" s="0" t="s">
        <v>126</v>
      </c>
      <c r="D35" s="0" t="s">
        <v>77</v>
      </c>
      <c r="E35" s="0" t="s">
        <v>37</v>
      </c>
      <c r="F35" s="0" t="s">
        <v>38</v>
      </c>
      <c r="G35" s="0" t="n">
        <v>9</v>
      </c>
      <c r="H35" s="0" t="n">
        <v>2898.43</v>
      </c>
      <c r="I35" s="0" t="s">
        <v>39</v>
      </c>
      <c r="J35" s="0" t="s">
        <v>76</v>
      </c>
      <c r="K35" s="0" t="s">
        <v>74</v>
      </c>
    </row>
    <row r="36" customFormat="false" ht="15" hidden="false" customHeight="false" outlineLevel="0" collapsed="false">
      <c r="A36" s="0" t="n">
        <v>1044</v>
      </c>
      <c r="B36" s="10" t="n">
        <v>45437</v>
      </c>
      <c r="C36" s="11" t="s">
        <v>127</v>
      </c>
      <c r="D36" s="11" t="s">
        <v>112</v>
      </c>
      <c r="E36" s="11" t="s">
        <v>50</v>
      </c>
      <c r="F36" s="11" t="s">
        <v>72</v>
      </c>
      <c r="G36" s="0" t="n">
        <v>2</v>
      </c>
      <c r="H36" s="0" t="n">
        <v>2458.9</v>
      </c>
      <c r="I36" s="11" t="s">
        <v>52</v>
      </c>
      <c r="J36" s="11" t="s">
        <v>73</v>
      </c>
      <c r="K36" s="11" t="s">
        <v>58</v>
      </c>
    </row>
    <row r="37" customFormat="false" ht="15" hidden="false" customHeight="false" outlineLevel="0" collapsed="false">
      <c r="A37" s="0" t="n">
        <v>1109</v>
      </c>
      <c r="B37" s="10" t="n">
        <v>45620</v>
      </c>
      <c r="C37" s="11" t="s">
        <v>128</v>
      </c>
      <c r="D37" s="11" t="s">
        <v>82</v>
      </c>
      <c r="E37" s="11" t="s">
        <v>83</v>
      </c>
      <c r="F37" s="11" t="s">
        <v>129</v>
      </c>
      <c r="G37" s="0" t="n">
        <v>6</v>
      </c>
      <c r="H37" s="0" t="n">
        <v>745.84</v>
      </c>
      <c r="I37" s="11" t="s">
        <v>52</v>
      </c>
      <c r="J37" s="11" t="s">
        <v>62</v>
      </c>
      <c r="K37" s="11" t="s">
        <v>41</v>
      </c>
    </row>
    <row r="38" customFormat="false" ht="15" hidden="false" customHeight="false" outlineLevel="0" collapsed="false">
      <c r="A38" s="0" t="n">
        <v>1267</v>
      </c>
      <c r="B38" s="10" t="n">
        <v>45361</v>
      </c>
      <c r="C38" s="11" t="s">
        <v>130</v>
      </c>
      <c r="D38" s="11" t="s">
        <v>59</v>
      </c>
      <c r="E38" s="11" t="s">
        <v>66</v>
      </c>
      <c r="F38" s="11" t="s">
        <v>78</v>
      </c>
      <c r="G38" s="0" t="n">
        <v>3</v>
      </c>
      <c r="H38" s="0" t="n">
        <v>2110.25</v>
      </c>
      <c r="I38" s="11" t="s">
        <v>52</v>
      </c>
      <c r="J38" s="11" t="s">
        <v>69</v>
      </c>
      <c r="K38" s="11" t="s">
        <v>80</v>
      </c>
    </row>
    <row r="39" customFormat="false" ht="15" hidden="false" customHeight="false" outlineLevel="0" collapsed="false">
      <c r="A39" s="0" t="n">
        <v>1179</v>
      </c>
      <c r="B39" s="10" t="n">
        <v>45338</v>
      </c>
      <c r="C39" s="11" t="s">
        <v>111</v>
      </c>
      <c r="D39" s="11" t="s">
        <v>77</v>
      </c>
      <c r="F39" s="11" t="s">
        <v>103</v>
      </c>
      <c r="G39" s="0" t="n">
        <v>4</v>
      </c>
      <c r="H39" s="0" t="n">
        <v>661.13</v>
      </c>
      <c r="I39" s="11" t="s">
        <v>75</v>
      </c>
      <c r="J39" s="11" t="s">
        <v>79</v>
      </c>
      <c r="K39" s="11" t="s">
        <v>53</v>
      </c>
    </row>
    <row r="40" customFormat="false" ht="15" hidden="false" customHeight="false" outlineLevel="0" collapsed="false">
      <c r="A40" s="0" t="n">
        <v>1039</v>
      </c>
      <c r="B40" s="0" t="s">
        <v>131</v>
      </c>
      <c r="C40" s="0" t="s">
        <v>132</v>
      </c>
      <c r="D40" s="0" t="s">
        <v>65</v>
      </c>
      <c r="E40" s="0" t="s">
        <v>66</v>
      </c>
      <c r="F40" s="0" t="s">
        <v>45</v>
      </c>
      <c r="G40" s="0" t="n">
        <v>7</v>
      </c>
      <c r="H40" s="0" t="n">
        <v>2700.52</v>
      </c>
      <c r="I40" s="0" t="s">
        <v>52</v>
      </c>
      <c r="J40" s="0" t="s">
        <v>89</v>
      </c>
      <c r="K40" s="0" t="s">
        <v>53</v>
      </c>
    </row>
    <row r="41" customFormat="false" ht="15" hidden="false" customHeight="false" outlineLevel="0" collapsed="false">
      <c r="A41" s="0" t="n">
        <v>1208</v>
      </c>
      <c r="B41" s="0" t="s">
        <v>133</v>
      </c>
      <c r="C41" s="0" t="s">
        <v>134</v>
      </c>
      <c r="D41" s="0" t="s">
        <v>43</v>
      </c>
      <c r="E41" s="0" t="s">
        <v>102</v>
      </c>
      <c r="F41" s="0" t="s">
        <v>103</v>
      </c>
      <c r="G41" s="0" t="n">
        <v>7</v>
      </c>
      <c r="H41" s="0" t="n">
        <v>1135.89</v>
      </c>
      <c r="I41" s="0" t="s">
        <v>68</v>
      </c>
      <c r="J41" s="0" t="s">
        <v>104</v>
      </c>
      <c r="K41" s="0" t="s">
        <v>74</v>
      </c>
    </row>
    <row r="42" customFormat="false" ht="15" hidden="false" customHeight="false" outlineLevel="0" collapsed="false">
      <c r="A42" s="0" t="n">
        <v>1076</v>
      </c>
      <c r="B42" s="10" t="n">
        <v>45439</v>
      </c>
      <c r="C42" s="11" t="s">
        <v>135</v>
      </c>
      <c r="E42" s="11" t="s">
        <v>83</v>
      </c>
      <c r="F42" s="11" t="s">
        <v>129</v>
      </c>
      <c r="G42" s="0" t="n">
        <v>0</v>
      </c>
      <c r="H42" s="0" t="n">
        <v>2068.41</v>
      </c>
      <c r="I42" s="11" t="s">
        <v>39</v>
      </c>
      <c r="J42" s="11" t="s">
        <v>115</v>
      </c>
      <c r="K42" s="11" t="s">
        <v>74</v>
      </c>
    </row>
    <row r="43" customFormat="false" ht="15" hidden="false" customHeight="false" outlineLevel="0" collapsed="false">
      <c r="A43" s="0" t="n">
        <v>1242</v>
      </c>
      <c r="B43" s="10" t="n">
        <v>45596</v>
      </c>
      <c r="C43" s="11" t="s">
        <v>136</v>
      </c>
      <c r="D43" s="11" t="s">
        <v>77</v>
      </c>
      <c r="E43" s="11" t="s">
        <v>137</v>
      </c>
      <c r="F43" s="11" t="s">
        <v>38</v>
      </c>
      <c r="G43" s="0" t="n">
        <v>2</v>
      </c>
      <c r="H43" s="0" t="n">
        <v>423.76</v>
      </c>
      <c r="I43" s="11" t="s">
        <v>46</v>
      </c>
      <c r="J43" s="11" t="s">
        <v>73</v>
      </c>
    </row>
    <row r="44" customFormat="false" ht="15" hidden="false" customHeight="false" outlineLevel="0" collapsed="false">
      <c r="A44" s="0" t="n">
        <v>1118</v>
      </c>
      <c r="B44" s="10" t="n">
        <v>45326</v>
      </c>
      <c r="D44" s="11" t="s">
        <v>138</v>
      </c>
      <c r="E44" s="11" t="s">
        <v>37</v>
      </c>
      <c r="F44" s="11" t="s">
        <v>38</v>
      </c>
      <c r="G44" s="0" t="n">
        <v>2</v>
      </c>
      <c r="H44" s="0" t="n">
        <v>1306.99</v>
      </c>
      <c r="I44" s="11" t="s">
        <v>39</v>
      </c>
      <c r="J44" s="11" t="s">
        <v>40</v>
      </c>
      <c r="K44" s="11" t="s">
        <v>53</v>
      </c>
    </row>
    <row r="45" customFormat="false" ht="15" hidden="false" customHeight="false" outlineLevel="0" collapsed="false">
      <c r="A45" s="0" t="n">
        <v>1043</v>
      </c>
      <c r="B45" s="10" t="n">
        <v>45588</v>
      </c>
      <c r="C45" s="11" t="s">
        <v>139</v>
      </c>
      <c r="D45" s="11" t="s">
        <v>112</v>
      </c>
      <c r="E45" s="11" t="s">
        <v>37</v>
      </c>
      <c r="F45" s="11" t="s">
        <v>38</v>
      </c>
      <c r="G45" s="0" t="n">
        <v>8</v>
      </c>
      <c r="H45" s="0" t="n">
        <v>1336.52</v>
      </c>
      <c r="I45" s="11" t="s">
        <v>52</v>
      </c>
      <c r="J45" s="11" t="s">
        <v>85</v>
      </c>
      <c r="K45" s="11" t="s">
        <v>80</v>
      </c>
    </row>
    <row r="46" customFormat="false" ht="15" hidden="false" customHeight="false" outlineLevel="0" collapsed="false">
      <c r="A46" s="0" t="n">
        <v>1052</v>
      </c>
      <c r="B46" s="10" t="n">
        <v>45507</v>
      </c>
      <c r="C46" s="11" t="s">
        <v>140</v>
      </c>
      <c r="D46" s="11" t="s">
        <v>82</v>
      </c>
      <c r="E46" s="11" t="s">
        <v>83</v>
      </c>
      <c r="F46" s="11" t="s">
        <v>129</v>
      </c>
      <c r="G46" s="0" t="n">
        <v>10</v>
      </c>
      <c r="H46" s="0" t="n">
        <v>1153.54</v>
      </c>
      <c r="I46" s="11" t="s">
        <v>46</v>
      </c>
      <c r="J46" s="11" t="s">
        <v>122</v>
      </c>
      <c r="K46" s="11" t="s">
        <v>47</v>
      </c>
    </row>
    <row r="47" customFormat="false" ht="15" hidden="false" customHeight="false" outlineLevel="0" collapsed="false">
      <c r="A47" s="0" t="n">
        <v>1190</v>
      </c>
      <c r="B47" s="0" t="s">
        <v>141</v>
      </c>
      <c r="C47" s="0" t="s">
        <v>142</v>
      </c>
      <c r="D47" s="0" t="s">
        <v>59</v>
      </c>
      <c r="E47" s="0" t="s">
        <v>37</v>
      </c>
      <c r="F47" s="0" t="s">
        <v>93</v>
      </c>
      <c r="G47" s="0" t="n">
        <v>5</v>
      </c>
      <c r="H47" s="0" t="n">
        <v>2120.6</v>
      </c>
      <c r="I47" s="0" t="s">
        <v>68</v>
      </c>
      <c r="J47" s="0" t="s">
        <v>85</v>
      </c>
      <c r="K47" s="0" t="s">
        <v>63</v>
      </c>
    </row>
    <row r="48" customFormat="false" ht="15" hidden="false" customHeight="false" outlineLevel="0" collapsed="false">
      <c r="A48" s="0" t="n">
        <v>1245</v>
      </c>
      <c r="B48" s="10" t="n">
        <v>45350</v>
      </c>
      <c r="C48" s="11" t="s">
        <v>143</v>
      </c>
      <c r="D48" s="11" t="s">
        <v>43</v>
      </c>
      <c r="E48" s="11" t="s">
        <v>102</v>
      </c>
      <c r="F48" s="11" t="s">
        <v>144</v>
      </c>
      <c r="G48" s="0" t="n">
        <v>9</v>
      </c>
      <c r="H48" s="0" t="n">
        <v>100.21</v>
      </c>
      <c r="I48" s="11" t="s">
        <v>68</v>
      </c>
      <c r="J48" s="11" t="s">
        <v>79</v>
      </c>
      <c r="K48" s="11" t="s">
        <v>63</v>
      </c>
    </row>
    <row r="49" customFormat="false" ht="15" hidden="false" customHeight="false" outlineLevel="0" collapsed="false">
      <c r="A49" s="0" t="n">
        <v>1263</v>
      </c>
      <c r="B49" s="10" t="n">
        <v>45479</v>
      </c>
      <c r="C49" s="11" t="s">
        <v>145</v>
      </c>
      <c r="D49" s="11" t="s">
        <v>82</v>
      </c>
      <c r="F49" s="11" t="s">
        <v>95</v>
      </c>
      <c r="G49" s="0" t="n">
        <v>8</v>
      </c>
      <c r="H49" s="0" t="n">
        <v>1648.13</v>
      </c>
      <c r="I49" s="11" t="s">
        <v>68</v>
      </c>
      <c r="J49" s="11" t="s">
        <v>115</v>
      </c>
      <c r="K49" s="11" t="s">
        <v>58</v>
      </c>
    </row>
    <row r="50" customFormat="false" ht="15" hidden="false" customHeight="false" outlineLevel="0" collapsed="false">
      <c r="A50" s="0" t="n">
        <v>1175</v>
      </c>
      <c r="B50" s="10" t="n">
        <v>45372</v>
      </c>
      <c r="C50" s="11" t="s">
        <v>125</v>
      </c>
      <c r="D50" s="11" t="s">
        <v>77</v>
      </c>
      <c r="E50" s="11" t="s">
        <v>83</v>
      </c>
      <c r="F50" s="11" t="s">
        <v>146</v>
      </c>
      <c r="G50" s="0" t="n">
        <v>8</v>
      </c>
      <c r="H50" s="0" t="n">
        <v>627.99</v>
      </c>
      <c r="I50" s="11" t="s">
        <v>52</v>
      </c>
      <c r="J50" s="11" t="s">
        <v>73</v>
      </c>
      <c r="K50" s="11" t="s">
        <v>86</v>
      </c>
    </row>
    <row r="51" customFormat="false" ht="15" hidden="false" customHeight="false" outlineLevel="0" collapsed="false">
      <c r="A51" s="0" t="n">
        <v>1093</v>
      </c>
      <c r="B51" s="10" t="n">
        <v>45514</v>
      </c>
      <c r="C51" s="11" t="s">
        <v>147</v>
      </c>
      <c r="D51" s="11" t="s">
        <v>65</v>
      </c>
      <c r="E51" s="11" t="s">
        <v>148</v>
      </c>
      <c r="F51" s="11" t="s">
        <v>108</v>
      </c>
      <c r="G51" s="0" t="n">
        <v>8</v>
      </c>
      <c r="H51" s="0" t="n">
        <v>515.77</v>
      </c>
      <c r="I51" s="11" t="s">
        <v>39</v>
      </c>
      <c r="J51" s="11" t="s">
        <v>115</v>
      </c>
      <c r="K51" s="11" t="s">
        <v>53</v>
      </c>
    </row>
    <row r="52" customFormat="false" ht="15" hidden="false" customHeight="false" outlineLevel="0" collapsed="false">
      <c r="A52" s="0" t="n">
        <v>1169</v>
      </c>
      <c r="B52" s="10" t="n">
        <v>45561</v>
      </c>
      <c r="C52" s="11" t="s">
        <v>149</v>
      </c>
      <c r="D52" s="11" t="s">
        <v>49</v>
      </c>
      <c r="E52" s="11" t="s">
        <v>50</v>
      </c>
      <c r="F52" s="11" t="s">
        <v>150</v>
      </c>
      <c r="G52" s="0" t="n">
        <v>10</v>
      </c>
      <c r="H52" s="0" t="n">
        <v>239.78</v>
      </c>
      <c r="I52" s="11" t="s">
        <v>39</v>
      </c>
      <c r="J52" s="11" t="s">
        <v>79</v>
      </c>
      <c r="K52" s="11" t="s">
        <v>63</v>
      </c>
    </row>
    <row r="53" customFormat="false" ht="15" hidden="false" customHeight="false" outlineLevel="0" collapsed="false">
      <c r="A53" s="0" t="n">
        <v>1048</v>
      </c>
      <c r="B53" s="10" t="n">
        <v>45578</v>
      </c>
      <c r="D53" s="11" t="s">
        <v>77</v>
      </c>
      <c r="E53" s="11" t="s">
        <v>102</v>
      </c>
      <c r="F53" s="11" t="s">
        <v>151</v>
      </c>
      <c r="G53" s="0" t="n">
        <v>9999</v>
      </c>
      <c r="H53" s="0" t="n">
        <v>2448.72</v>
      </c>
      <c r="I53" s="11" t="s">
        <v>152</v>
      </c>
      <c r="J53" s="11" t="s">
        <v>73</v>
      </c>
      <c r="K53" s="11" t="s">
        <v>80</v>
      </c>
    </row>
    <row r="54" customFormat="false" ht="15" hidden="false" customHeight="false" outlineLevel="0" collapsed="false">
      <c r="A54" s="0" t="n">
        <v>1196</v>
      </c>
      <c r="B54" s="10" t="n">
        <v>45310</v>
      </c>
      <c r="C54" s="11" t="s">
        <v>140</v>
      </c>
      <c r="D54" s="11" t="s">
        <v>77</v>
      </c>
      <c r="E54" s="11" t="s">
        <v>102</v>
      </c>
      <c r="F54" s="11" t="s">
        <v>121</v>
      </c>
      <c r="G54" s="0" t="n">
        <v>3</v>
      </c>
      <c r="H54" s="0" t="n">
        <v>2811.09</v>
      </c>
      <c r="I54" s="11" t="s">
        <v>39</v>
      </c>
      <c r="J54" s="11" t="s">
        <v>115</v>
      </c>
      <c r="K54" s="11" t="s">
        <v>53</v>
      </c>
    </row>
    <row r="55" customFormat="false" ht="15" hidden="false" customHeight="false" outlineLevel="0" collapsed="false">
      <c r="A55" s="0" t="n">
        <v>1144</v>
      </c>
      <c r="B55" s="10" t="n">
        <v>45521</v>
      </c>
      <c r="C55" s="11" t="s">
        <v>153</v>
      </c>
      <c r="D55" s="11" t="s">
        <v>36</v>
      </c>
      <c r="E55" s="11" t="s">
        <v>66</v>
      </c>
      <c r="F55" s="11" t="s">
        <v>55</v>
      </c>
      <c r="G55" s="0" t="n">
        <v>5</v>
      </c>
      <c r="H55" s="0" t="n">
        <v>2897.48</v>
      </c>
      <c r="I55" s="11" t="s">
        <v>68</v>
      </c>
      <c r="J55" s="11" t="s">
        <v>115</v>
      </c>
      <c r="K55" s="11" t="s">
        <v>86</v>
      </c>
    </row>
    <row r="56" customFormat="false" ht="15" hidden="false" customHeight="false" outlineLevel="0" collapsed="false">
      <c r="A56" s="0" t="n">
        <v>1297</v>
      </c>
      <c r="B56" s="10" t="n">
        <v>45589</v>
      </c>
      <c r="C56" s="11" t="s">
        <v>154</v>
      </c>
      <c r="D56" s="11" t="s">
        <v>43</v>
      </c>
      <c r="E56" s="11" t="s">
        <v>102</v>
      </c>
      <c r="F56" s="11" t="s">
        <v>103</v>
      </c>
      <c r="G56" s="0" t="n">
        <v>7</v>
      </c>
      <c r="H56" s="0" t="n">
        <v>242.99</v>
      </c>
      <c r="I56" s="11" t="s">
        <v>46</v>
      </c>
      <c r="J56" s="11" t="s">
        <v>89</v>
      </c>
      <c r="K56" s="11" t="s">
        <v>80</v>
      </c>
    </row>
    <row r="57" customFormat="false" ht="15" hidden="false" customHeight="false" outlineLevel="0" collapsed="false">
      <c r="A57" s="0" t="n">
        <v>1250</v>
      </c>
      <c r="B57" s="10" t="n">
        <v>45639</v>
      </c>
      <c r="C57" s="11" t="s">
        <v>155</v>
      </c>
      <c r="D57" s="11" t="s">
        <v>43</v>
      </c>
      <c r="E57" s="11" t="s">
        <v>102</v>
      </c>
      <c r="F57" s="11" t="s">
        <v>110</v>
      </c>
      <c r="G57" s="0" t="n">
        <v>6</v>
      </c>
      <c r="H57" s="11" t="s">
        <v>156</v>
      </c>
      <c r="I57" s="11" t="s">
        <v>68</v>
      </c>
      <c r="J57" s="11" t="s">
        <v>62</v>
      </c>
      <c r="K57" s="11" t="s">
        <v>47</v>
      </c>
    </row>
    <row r="58" customFormat="false" ht="15" hidden="false" customHeight="false" outlineLevel="0" collapsed="false">
      <c r="A58" s="0" t="n">
        <v>1032</v>
      </c>
      <c r="B58" s="10" t="n">
        <v>45293</v>
      </c>
      <c r="C58" s="11" t="s">
        <v>157</v>
      </c>
      <c r="D58" s="11" t="s">
        <v>43</v>
      </c>
      <c r="E58" s="11" t="s">
        <v>60</v>
      </c>
      <c r="F58" s="11" t="s">
        <v>106</v>
      </c>
      <c r="G58" s="0" t="n">
        <v>5</v>
      </c>
      <c r="H58" s="0" t="n">
        <v>501.51</v>
      </c>
      <c r="I58" s="11" t="s">
        <v>68</v>
      </c>
      <c r="J58" s="11" t="s">
        <v>73</v>
      </c>
      <c r="K58" s="11" t="s">
        <v>53</v>
      </c>
    </row>
    <row r="59" customFormat="false" ht="15" hidden="false" customHeight="false" outlineLevel="0" collapsed="false">
      <c r="A59" s="0" t="n">
        <v>1277</v>
      </c>
      <c r="B59" s="10" t="n">
        <v>45327</v>
      </c>
      <c r="C59" s="11" t="s">
        <v>158</v>
      </c>
      <c r="D59" s="11" t="s">
        <v>82</v>
      </c>
      <c r="E59" s="11" t="s">
        <v>37</v>
      </c>
      <c r="F59" s="11" t="s">
        <v>159</v>
      </c>
      <c r="G59" s="0" t="n">
        <v>10</v>
      </c>
      <c r="H59" s="0" t="n">
        <v>1957.06</v>
      </c>
      <c r="I59" s="11" t="s">
        <v>68</v>
      </c>
      <c r="J59" s="11" t="s">
        <v>89</v>
      </c>
      <c r="K59" s="11" t="s">
        <v>58</v>
      </c>
    </row>
    <row r="60" customFormat="false" ht="15" hidden="false" customHeight="false" outlineLevel="0" collapsed="false">
      <c r="A60" s="0" t="n">
        <v>1079</v>
      </c>
      <c r="B60" s="10" t="n">
        <v>45513</v>
      </c>
      <c r="C60" s="11" t="s">
        <v>160</v>
      </c>
      <c r="D60" s="11" t="s">
        <v>59</v>
      </c>
      <c r="E60" s="11" t="s">
        <v>66</v>
      </c>
      <c r="F60" s="11" t="s">
        <v>78</v>
      </c>
      <c r="G60" s="0" t="n">
        <v>1</v>
      </c>
      <c r="H60" s="0" t="n">
        <v>292.15</v>
      </c>
      <c r="I60" s="11" t="s">
        <v>46</v>
      </c>
      <c r="J60" s="11" t="s">
        <v>76</v>
      </c>
      <c r="K60" s="11" t="s">
        <v>53</v>
      </c>
    </row>
    <row r="61" customFormat="false" ht="15" hidden="false" customHeight="false" outlineLevel="0" collapsed="false">
      <c r="A61" s="0" t="n">
        <v>1143</v>
      </c>
      <c r="B61" s="10" t="n">
        <v>45370</v>
      </c>
      <c r="C61" s="11" t="s">
        <v>119</v>
      </c>
      <c r="E61" s="11" t="s">
        <v>66</v>
      </c>
      <c r="F61" s="11" t="s">
        <v>45</v>
      </c>
      <c r="G61" s="0" t="n">
        <v>8</v>
      </c>
      <c r="H61" s="0" t="n">
        <v>150.2</v>
      </c>
      <c r="I61" s="11" t="s">
        <v>39</v>
      </c>
      <c r="J61" s="11" t="s">
        <v>69</v>
      </c>
      <c r="K61" s="11" t="s">
        <v>63</v>
      </c>
    </row>
    <row r="62" customFormat="false" ht="15" hidden="false" customHeight="false" outlineLevel="0" collapsed="false">
      <c r="A62" s="0" t="n">
        <v>1072</v>
      </c>
      <c r="B62" s="10" t="n">
        <v>45421</v>
      </c>
      <c r="C62" s="11" t="s">
        <v>161</v>
      </c>
      <c r="D62" s="11" t="s">
        <v>65</v>
      </c>
      <c r="E62" s="11" t="s">
        <v>37</v>
      </c>
      <c r="F62" s="11" t="s">
        <v>108</v>
      </c>
      <c r="G62" s="0" t="n">
        <v>7</v>
      </c>
      <c r="H62" s="0" t="n">
        <v>1485.4</v>
      </c>
      <c r="I62" s="11" t="s">
        <v>46</v>
      </c>
      <c r="J62" s="11" t="s">
        <v>57</v>
      </c>
      <c r="K62" s="11" t="s">
        <v>80</v>
      </c>
    </row>
    <row r="63" customFormat="false" ht="15" hidden="false" customHeight="false" outlineLevel="0" collapsed="false">
      <c r="A63" s="0" t="n">
        <v>1064</v>
      </c>
      <c r="B63" s="10" t="n">
        <v>45634</v>
      </c>
      <c r="C63" s="11" t="s">
        <v>162</v>
      </c>
      <c r="D63" s="11" t="s">
        <v>82</v>
      </c>
      <c r="E63" s="11" t="s">
        <v>66</v>
      </c>
      <c r="F63" s="11" t="s">
        <v>67</v>
      </c>
      <c r="G63" s="0" t="n">
        <v>8</v>
      </c>
      <c r="H63" s="0" t="n">
        <v>2555.84</v>
      </c>
      <c r="I63" s="11" t="s">
        <v>163</v>
      </c>
      <c r="J63" s="11" t="s">
        <v>104</v>
      </c>
      <c r="K63" s="11" t="s">
        <v>58</v>
      </c>
    </row>
    <row r="64" customFormat="false" ht="15" hidden="false" customHeight="false" outlineLevel="0" collapsed="false">
      <c r="A64" s="0" t="n">
        <v>1235</v>
      </c>
      <c r="B64" s="10" t="n">
        <v>45596</v>
      </c>
      <c r="C64" s="11" t="s">
        <v>140</v>
      </c>
      <c r="D64" s="11" t="s">
        <v>112</v>
      </c>
      <c r="E64" s="11" t="s">
        <v>66</v>
      </c>
      <c r="F64" s="11" t="s">
        <v>67</v>
      </c>
      <c r="G64" s="0" t="n">
        <v>1</v>
      </c>
      <c r="H64" s="0" t="n">
        <v>1909.69</v>
      </c>
      <c r="I64" s="11" t="s">
        <v>68</v>
      </c>
      <c r="J64" s="11" t="s">
        <v>89</v>
      </c>
      <c r="K64" s="11" t="s">
        <v>58</v>
      </c>
    </row>
    <row r="65" customFormat="false" ht="15" hidden="false" customHeight="false" outlineLevel="0" collapsed="false">
      <c r="A65" s="0" t="n">
        <v>1149</v>
      </c>
      <c r="B65" s="10" t="n">
        <v>45342</v>
      </c>
      <c r="C65" s="11" t="s">
        <v>157</v>
      </c>
      <c r="D65" s="11" t="s">
        <v>43</v>
      </c>
      <c r="E65" s="11" t="s">
        <v>83</v>
      </c>
      <c r="F65" s="11" t="s">
        <v>164</v>
      </c>
      <c r="G65" s="0" t="n">
        <v>3</v>
      </c>
      <c r="H65" s="0" t="n">
        <v>134.14</v>
      </c>
      <c r="I65" s="11" t="s">
        <v>68</v>
      </c>
      <c r="J65" s="11" t="s">
        <v>57</v>
      </c>
      <c r="K65" s="11" t="s">
        <v>63</v>
      </c>
    </row>
    <row r="66" customFormat="false" ht="15" hidden="false" customHeight="false" outlineLevel="0" collapsed="false">
      <c r="A66" s="0" t="n">
        <v>1203</v>
      </c>
      <c r="B66" s="10" t="n">
        <v>45536</v>
      </c>
      <c r="C66" s="11" t="s">
        <v>165</v>
      </c>
      <c r="D66" s="11" t="s">
        <v>112</v>
      </c>
      <c r="E66" s="11" t="s">
        <v>37</v>
      </c>
      <c r="F66" s="11" t="s">
        <v>159</v>
      </c>
      <c r="G66" s="0" t="n">
        <v>7</v>
      </c>
      <c r="H66" s="0" t="n">
        <v>2111.78</v>
      </c>
      <c r="I66" s="11" t="s">
        <v>68</v>
      </c>
      <c r="J66" s="11" t="s">
        <v>40</v>
      </c>
      <c r="K66" s="11" t="s">
        <v>58</v>
      </c>
    </row>
    <row r="67" customFormat="false" ht="15" hidden="false" customHeight="false" outlineLevel="0" collapsed="false">
      <c r="A67" s="0" t="n">
        <v>1130</v>
      </c>
      <c r="B67" s="10" t="n">
        <v>45527</v>
      </c>
      <c r="C67" s="11" t="s">
        <v>166</v>
      </c>
      <c r="D67" s="11" t="s">
        <v>49</v>
      </c>
      <c r="E67" s="11" t="s">
        <v>37</v>
      </c>
      <c r="F67" s="11" t="s">
        <v>167</v>
      </c>
      <c r="G67" s="0" t="n">
        <v>2</v>
      </c>
      <c r="H67" s="0" t="n">
        <v>745.08</v>
      </c>
      <c r="I67" s="11" t="s">
        <v>68</v>
      </c>
      <c r="J67" s="11" t="s">
        <v>40</v>
      </c>
      <c r="K67" s="11" t="s">
        <v>74</v>
      </c>
    </row>
    <row r="68" customFormat="false" ht="15" hidden="false" customHeight="false" outlineLevel="0" collapsed="false">
      <c r="A68" s="0" t="n">
        <v>1001</v>
      </c>
      <c r="B68" s="10" t="n">
        <v>45304</v>
      </c>
      <c r="C68" s="11" t="s">
        <v>168</v>
      </c>
      <c r="D68" s="11" t="s">
        <v>36</v>
      </c>
      <c r="E68" s="11" t="s">
        <v>50</v>
      </c>
      <c r="F68" s="11" t="s">
        <v>72</v>
      </c>
      <c r="G68" s="0" t="n">
        <v>3</v>
      </c>
      <c r="H68" s="0" t="n">
        <v>2214.68</v>
      </c>
      <c r="I68" s="11" t="s">
        <v>46</v>
      </c>
      <c r="J68" s="11" t="s">
        <v>89</v>
      </c>
    </row>
    <row r="69" customFormat="false" ht="15" hidden="false" customHeight="false" outlineLevel="0" collapsed="false">
      <c r="A69" s="0" t="n">
        <v>1041</v>
      </c>
      <c r="B69" s="10" t="n">
        <v>45551</v>
      </c>
      <c r="C69" s="11" t="s">
        <v>169</v>
      </c>
      <c r="D69" s="11" t="s">
        <v>49</v>
      </c>
      <c r="E69" s="11" t="s">
        <v>50</v>
      </c>
      <c r="F69" s="11" t="s">
        <v>99</v>
      </c>
      <c r="G69" s="0" t="n">
        <v>6</v>
      </c>
      <c r="H69" s="0" t="n">
        <v>1219.15</v>
      </c>
      <c r="I69" s="11" t="s">
        <v>39</v>
      </c>
      <c r="J69" s="11" t="s">
        <v>62</v>
      </c>
      <c r="K69" s="11" t="s">
        <v>58</v>
      </c>
    </row>
    <row r="70" customFormat="false" ht="15" hidden="false" customHeight="false" outlineLevel="0" collapsed="false">
      <c r="A70" s="0" t="n">
        <v>1075</v>
      </c>
      <c r="B70" s="10" t="n">
        <v>45372</v>
      </c>
      <c r="C70" s="11" t="s">
        <v>170</v>
      </c>
      <c r="D70" s="11" t="s">
        <v>65</v>
      </c>
      <c r="E70" s="11" t="s">
        <v>60</v>
      </c>
      <c r="F70" s="11" t="s">
        <v>106</v>
      </c>
      <c r="G70" s="0" t="n">
        <v>3</v>
      </c>
      <c r="H70" s="0" t="n">
        <v>27.97</v>
      </c>
      <c r="I70" s="11" t="s">
        <v>152</v>
      </c>
      <c r="J70" s="11" t="s">
        <v>122</v>
      </c>
      <c r="K70" s="11" t="s">
        <v>47</v>
      </c>
    </row>
    <row r="71" customFormat="false" ht="15" hidden="false" customHeight="false" outlineLevel="0" collapsed="false">
      <c r="A71" s="0" t="n">
        <v>1202</v>
      </c>
      <c r="B71" s="10" t="n">
        <v>45643</v>
      </c>
      <c r="D71" s="11" t="s">
        <v>59</v>
      </c>
      <c r="E71" s="11" t="s">
        <v>37</v>
      </c>
      <c r="F71" s="11" t="s">
        <v>38</v>
      </c>
      <c r="G71" s="0" t="n">
        <v>2</v>
      </c>
      <c r="H71" s="0" t="n">
        <v>1923.36</v>
      </c>
      <c r="I71" s="11" t="s">
        <v>39</v>
      </c>
      <c r="J71" s="11" t="s">
        <v>104</v>
      </c>
      <c r="K71" s="11" t="s">
        <v>58</v>
      </c>
    </row>
    <row r="72" customFormat="false" ht="15" hidden="false" customHeight="false" outlineLevel="0" collapsed="false">
      <c r="A72" s="0" t="n">
        <v>1162</v>
      </c>
      <c r="B72" s="10" t="n">
        <v>45603</v>
      </c>
      <c r="C72" s="11" t="s">
        <v>171</v>
      </c>
      <c r="D72" s="11" t="s">
        <v>43</v>
      </c>
      <c r="E72" s="11" t="s">
        <v>83</v>
      </c>
      <c r="F72" s="11" t="s">
        <v>129</v>
      </c>
      <c r="G72" s="0" t="n">
        <v>2</v>
      </c>
      <c r="H72" s="0" t="n">
        <v>723.27</v>
      </c>
      <c r="I72" s="11" t="s">
        <v>39</v>
      </c>
      <c r="J72" s="11" t="s">
        <v>89</v>
      </c>
      <c r="K72" s="11" t="s">
        <v>74</v>
      </c>
    </row>
    <row r="73" customFormat="false" ht="15" hidden="false" customHeight="false" outlineLevel="0" collapsed="false">
      <c r="A73" s="0" t="n">
        <v>1168</v>
      </c>
      <c r="B73" s="10" t="n">
        <v>45585</v>
      </c>
      <c r="C73" s="11" t="s">
        <v>172</v>
      </c>
      <c r="D73" s="11" t="s">
        <v>43</v>
      </c>
      <c r="E73" s="11" t="s">
        <v>60</v>
      </c>
      <c r="F73" s="11" t="s">
        <v>95</v>
      </c>
      <c r="G73" s="0" t="n">
        <v>10</v>
      </c>
      <c r="H73" s="0" t="n">
        <v>2655.05</v>
      </c>
      <c r="I73" s="11" t="s">
        <v>46</v>
      </c>
      <c r="J73" s="11" t="s">
        <v>122</v>
      </c>
      <c r="K73" s="11" t="s">
        <v>74</v>
      </c>
    </row>
    <row r="74" customFormat="false" ht="15" hidden="false" customHeight="false" outlineLevel="0" collapsed="false">
      <c r="A74" s="0" t="n">
        <v>1095</v>
      </c>
      <c r="B74" s="10" t="n">
        <v>45604</v>
      </c>
      <c r="C74" s="11" t="s">
        <v>173</v>
      </c>
      <c r="D74" s="11" t="s">
        <v>36</v>
      </c>
      <c r="E74" s="11" t="s">
        <v>37</v>
      </c>
      <c r="F74" s="11" t="s">
        <v>108</v>
      </c>
      <c r="G74" s="0" t="n">
        <v>8</v>
      </c>
      <c r="H74" s="0" t="n">
        <v>2740.23</v>
      </c>
      <c r="I74" s="11" t="s">
        <v>52</v>
      </c>
      <c r="J74" s="11" t="s">
        <v>40</v>
      </c>
      <c r="K74" s="11" t="s">
        <v>63</v>
      </c>
    </row>
    <row r="75" customFormat="false" ht="15" hidden="false" customHeight="false" outlineLevel="0" collapsed="false">
      <c r="A75" s="0" t="n">
        <v>1262</v>
      </c>
      <c r="B75" s="10" t="n">
        <v>45567</v>
      </c>
      <c r="C75" s="11" t="s">
        <v>174</v>
      </c>
      <c r="D75" s="11" t="s">
        <v>77</v>
      </c>
      <c r="E75" s="11" t="s">
        <v>60</v>
      </c>
      <c r="F75" s="11" t="s">
        <v>91</v>
      </c>
      <c r="G75" s="0" t="n">
        <v>-10</v>
      </c>
      <c r="H75" s="0" t="n">
        <v>2232.7</v>
      </c>
      <c r="I75" s="11" t="s">
        <v>68</v>
      </c>
      <c r="J75" s="11" t="s">
        <v>79</v>
      </c>
      <c r="K75" s="11" t="s">
        <v>41</v>
      </c>
    </row>
    <row r="76" customFormat="false" ht="15" hidden="false" customHeight="false" outlineLevel="0" collapsed="false">
      <c r="A76" s="0" t="n">
        <v>1283</v>
      </c>
      <c r="B76" s="10" t="n">
        <v>45402</v>
      </c>
      <c r="C76" s="11" t="s">
        <v>175</v>
      </c>
      <c r="D76" s="11" t="s">
        <v>49</v>
      </c>
      <c r="E76" s="11" t="s">
        <v>83</v>
      </c>
      <c r="F76" s="11" t="s">
        <v>164</v>
      </c>
      <c r="G76" s="0" t="n">
        <v>9</v>
      </c>
      <c r="H76" s="0" t="n">
        <v>873.73</v>
      </c>
      <c r="I76" s="11" t="s">
        <v>176</v>
      </c>
      <c r="J76" s="11" t="s">
        <v>122</v>
      </c>
      <c r="K76" s="11" t="s">
        <v>74</v>
      </c>
    </row>
    <row r="77" customFormat="false" ht="15" hidden="false" customHeight="false" outlineLevel="0" collapsed="false">
      <c r="A77" s="0" t="n">
        <v>1040</v>
      </c>
      <c r="B77" s="10" t="n">
        <v>45292</v>
      </c>
      <c r="C77" s="11" t="s">
        <v>177</v>
      </c>
      <c r="D77" s="11" t="s">
        <v>36</v>
      </c>
      <c r="E77" s="11" t="s">
        <v>50</v>
      </c>
      <c r="F77" s="11" t="s">
        <v>150</v>
      </c>
      <c r="G77" s="0" t="n">
        <v>6</v>
      </c>
      <c r="H77" s="0" t="n">
        <v>1305.27</v>
      </c>
      <c r="I77" s="11" t="s">
        <v>39</v>
      </c>
      <c r="J77" s="11" t="s">
        <v>104</v>
      </c>
      <c r="K77" s="11" t="s">
        <v>41</v>
      </c>
    </row>
    <row r="78" customFormat="false" ht="15" hidden="false" customHeight="false" outlineLevel="0" collapsed="false">
      <c r="A78" s="0" t="n">
        <v>1025</v>
      </c>
      <c r="B78" s="10" t="n">
        <v>45321</v>
      </c>
      <c r="C78" s="11" t="s">
        <v>105</v>
      </c>
      <c r="D78" s="11" t="s">
        <v>77</v>
      </c>
      <c r="E78" s="11" t="s">
        <v>50</v>
      </c>
      <c r="F78" s="11" t="s">
        <v>99</v>
      </c>
      <c r="H78" s="0" t="n">
        <v>2759.77</v>
      </c>
      <c r="I78" s="11" t="s">
        <v>52</v>
      </c>
      <c r="J78" s="11" t="s">
        <v>62</v>
      </c>
      <c r="K78" s="11" t="s">
        <v>41</v>
      </c>
    </row>
    <row r="79" customFormat="false" ht="15" hidden="false" customHeight="false" outlineLevel="0" collapsed="false">
      <c r="A79" s="0" t="n">
        <v>1051</v>
      </c>
      <c r="B79" s="10" t="n">
        <v>45647</v>
      </c>
      <c r="C79" s="11" t="s">
        <v>92</v>
      </c>
      <c r="D79" s="11" t="s">
        <v>36</v>
      </c>
      <c r="E79" s="11" t="s">
        <v>37</v>
      </c>
      <c r="F79" s="11" t="s">
        <v>38</v>
      </c>
      <c r="G79" s="0" t="n">
        <v>2</v>
      </c>
      <c r="H79" s="0" t="n">
        <v>1256.31</v>
      </c>
      <c r="I79" s="11" t="s">
        <v>39</v>
      </c>
      <c r="J79" s="11" t="s">
        <v>89</v>
      </c>
      <c r="K79" s="11" t="s">
        <v>74</v>
      </c>
    </row>
    <row r="80" customFormat="false" ht="15" hidden="false" customHeight="false" outlineLevel="0" collapsed="false">
      <c r="A80" s="0" t="n">
        <v>1260</v>
      </c>
      <c r="B80" s="10" t="n">
        <v>45609</v>
      </c>
      <c r="C80" s="11" t="s">
        <v>178</v>
      </c>
      <c r="D80" s="11" t="s">
        <v>112</v>
      </c>
      <c r="E80" s="11" t="s">
        <v>60</v>
      </c>
      <c r="F80" s="11" t="s">
        <v>117</v>
      </c>
      <c r="G80" s="0" t="n">
        <v>1</v>
      </c>
      <c r="H80" s="0" t="n">
        <v>1464.13</v>
      </c>
      <c r="I80" s="11" t="s">
        <v>52</v>
      </c>
      <c r="J80" s="11" t="s">
        <v>104</v>
      </c>
      <c r="K80" s="11" t="s">
        <v>63</v>
      </c>
    </row>
    <row r="81" customFormat="false" ht="15" hidden="false" customHeight="false" outlineLevel="0" collapsed="false">
      <c r="A81" s="0" t="n">
        <v>1248</v>
      </c>
      <c r="B81" s="10" t="n">
        <v>45596</v>
      </c>
      <c r="C81" s="11" t="s">
        <v>179</v>
      </c>
      <c r="D81" s="11" t="s">
        <v>36</v>
      </c>
      <c r="E81" s="11" t="s">
        <v>50</v>
      </c>
      <c r="F81" s="11" t="s">
        <v>51</v>
      </c>
      <c r="G81" s="0" t="n">
        <v>6</v>
      </c>
      <c r="H81" s="0" t="n">
        <v>515.69</v>
      </c>
      <c r="I81" s="11" t="s">
        <v>46</v>
      </c>
      <c r="J81" s="11" t="s">
        <v>89</v>
      </c>
      <c r="K81" s="11" t="s">
        <v>86</v>
      </c>
    </row>
    <row r="82" customFormat="false" ht="15" hidden="false" customHeight="false" outlineLevel="0" collapsed="false">
      <c r="A82" s="0" t="n">
        <v>1098</v>
      </c>
      <c r="B82" s="10" t="n">
        <v>45487</v>
      </c>
      <c r="C82" s="11" t="s">
        <v>180</v>
      </c>
      <c r="D82" s="11" t="s">
        <v>59</v>
      </c>
      <c r="E82" s="11" t="s">
        <v>83</v>
      </c>
      <c r="F82" s="11" t="s">
        <v>129</v>
      </c>
      <c r="G82" s="0" t="n">
        <v>-5</v>
      </c>
      <c r="H82" s="0" t="n">
        <v>85.38</v>
      </c>
      <c r="I82" s="11" t="s">
        <v>68</v>
      </c>
      <c r="J82" s="11" t="s">
        <v>122</v>
      </c>
      <c r="K82" s="11" t="s">
        <v>53</v>
      </c>
    </row>
    <row r="83" customFormat="false" ht="15" hidden="false" customHeight="false" outlineLevel="0" collapsed="false">
      <c r="A83" s="0" t="n">
        <v>1102</v>
      </c>
      <c r="B83" s="10" t="n">
        <v>45443</v>
      </c>
      <c r="C83" s="11" t="s">
        <v>157</v>
      </c>
      <c r="D83" s="11" t="s">
        <v>65</v>
      </c>
      <c r="E83" s="11" t="s">
        <v>60</v>
      </c>
      <c r="F83" s="11" t="s">
        <v>117</v>
      </c>
      <c r="G83" s="0" t="n">
        <v>8</v>
      </c>
      <c r="H83" s="0" t="n">
        <v>2889.42</v>
      </c>
      <c r="I83" s="11" t="s">
        <v>52</v>
      </c>
      <c r="J83" s="11" t="s">
        <v>40</v>
      </c>
      <c r="K83" s="11" t="s">
        <v>181</v>
      </c>
    </row>
    <row r="84" customFormat="false" ht="15" hidden="false" customHeight="false" outlineLevel="0" collapsed="false">
      <c r="A84" s="0" t="n">
        <v>1189</v>
      </c>
      <c r="B84" s="10" t="n">
        <v>45452</v>
      </c>
      <c r="C84" s="11" t="s">
        <v>182</v>
      </c>
      <c r="D84" s="11" t="s">
        <v>112</v>
      </c>
      <c r="E84" s="11" t="s">
        <v>66</v>
      </c>
      <c r="F84" s="11" t="s">
        <v>45</v>
      </c>
      <c r="G84" s="0" t="n">
        <v>9</v>
      </c>
      <c r="H84" s="0" t="n">
        <v>1075.78</v>
      </c>
      <c r="I84" s="11" t="s">
        <v>39</v>
      </c>
      <c r="J84" s="11" t="s">
        <v>122</v>
      </c>
      <c r="K84" s="11" t="s">
        <v>58</v>
      </c>
    </row>
    <row r="85" customFormat="false" ht="15" hidden="false" customHeight="false" outlineLevel="0" collapsed="false">
      <c r="A85" s="0" t="n">
        <v>1200</v>
      </c>
      <c r="B85" s="0" t="s">
        <v>183</v>
      </c>
      <c r="C85" s="0" t="s">
        <v>184</v>
      </c>
      <c r="D85" s="0" t="s">
        <v>82</v>
      </c>
      <c r="E85" s="0" t="s">
        <v>37</v>
      </c>
      <c r="F85" s="0" t="s">
        <v>159</v>
      </c>
      <c r="H85" s="0" t="n">
        <v>1163.05</v>
      </c>
      <c r="I85" s="0" t="s">
        <v>68</v>
      </c>
      <c r="J85" s="0" t="s">
        <v>89</v>
      </c>
      <c r="K85" s="0" t="s">
        <v>86</v>
      </c>
    </row>
    <row r="86" customFormat="false" ht="15" hidden="false" customHeight="false" outlineLevel="0" collapsed="false">
      <c r="A86" s="0" t="n">
        <v>1172</v>
      </c>
      <c r="B86" s="10" t="n">
        <v>45432</v>
      </c>
      <c r="C86" s="11" t="s">
        <v>185</v>
      </c>
      <c r="D86" s="11" t="s">
        <v>59</v>
      </c>
      <c r="E86" s="11" t="s">
        <v>37</v>
      </c>
      <c r="F86" s="11" t="s">
        <v>167</v>
      </c>
      <c r="G86" s="0" t="n">
        <v>10</v>
      </c>
      <c r="I86" s="11" t="s">
        <v>52</v>
      </c>
      <c r="J86" s="11" t="s">
        <v>40</v>
      </c>
      <c r="K86" s="11" t="s">
        <v>80</v>
      </c>
    </row>
    <row r="87" customFormat="false" ht="15" hidden="false" customHeight="false" outlineLevel="0" collapsed="false">
      <c r="A87" s="0" t="n">
        <v>1227</v>
      </c>
      <c r="B87" s="10" t="n">
        <v>45608</v>
      </c>
      <c r="C87" s="11" t="s">
        <v>186</v>
      </c>
      <c r="D87" s="11" t="s">
        <v>77</v>
      </c>
      <c r="E87" s="11" t="s">
        <v>60</v>
      </c>
      <c r="F87" s="11" t="s">
        <v>106</v>
      </c>
      <c r="G87" s="0" t="n">
        <v>1</v>
      </c>
      <c r="H87" s="0" t="n">
        <v>39.7</v>
      </c>
      <c r="I87" s="11" t="s">
        <v>68</v>
      </c>
      <c r="J87" s="11" t="s">
        <v>69</v>
      </c>
      <c r="K87" s="11" t="s">
        <v>53</v>
      </c>
    </row>
    <row r="88" customFormat="false" ht="15" hidden="false" customHeight="false" outlineLevel="0" collapsed="false">
      <c r="A88" s="0" t="n">
        <v>1012</v>
      </c>
      <c r="B88" s="10" t="n">
        <v>45597</v>
      </c>
      <c r="C88" s="11" t="s">
        <v>187</v>
      </c>
      <c r="D88" s="11" t="s">
        <v>59</v>
      </c>
      <c r="E88" s="11" t="s">
        <v>102</v>
      </c>
      <c r="F88" s="11" t="s">
        <v>110</v>
      </c>
      <c r="G88" s="0" t="n">
        <v>9</v>
      </c>
      <c r="H88" s="0" t="n">
        <v>2585.12</v>
      </c>
      <c r="I88" s="11" t="s">
        <v>46</v>
      </c>
      <c r="J88" s="11" t="s">
        <v>115</v>
      </c>
      <c r="K88" s="11" t="s">
        <v>47</v>
      </c>
    </row>
    <row r="89" customFormat="false" ht="15" hidden="false" customHeight="false" outlineLevel="0" collapsed="false">
      <c r="A89" s="0" t="n">
        <v>1139</v>
      </c>
      <c r="B89" s="10" t="n">
        <v>45639</v>
      </c>
      <c r="C89" s="11" t="s">
        <v>188</v>
      </c>
      <c r="D89" s="11" t="s">
        <v>59</v>
      </c>
      <c r="E89" s="11" t="s">
        <v>83</v>
      </c>
      <c r="F89" s="11" t="s">
        <v>189</v>
      </c>
      <c r="G89" s="0" t="n">
        <v>9999</v>
      </c>
      <c r="H89" s="0" t="n">
        <v>2622.37</v>
      </c>
      <c r="I89" s="11" t="s">
        <v>39</v>
      </c>
      <c r="J89" s="11" t="s">
        <v>69</v>
      </c>
      <c r="K89" s="11" t="s">
        <v>80</v>
      </c>
    </row>
    <row r="90" customFormat="false" ht="15" hidden="false" customHeight="false" outlineLevel="0" collapsed="false">
      <c r="A90" s="0" t="n">
        <v>1294</v>
      </c>
      <c r="B90" s="10" t="n">
        <v>45392</v>
      </c>
      <c r="C90" s="11" t="s">
        <v>190</v>
      </c>
      <c r="D90" s="11" t="s">
        <v>36</v>
      </c>
      <c r="E90" s="11" t="s">
        <v>66</v>
      </c>
      <c r="F90" s="11" t="s">
        <v>45</v>
      </c>
      <c r="G90" s="0" t="n">
        <v>3</v>
      </c>
      <c r="H90" s="11" t="s">
        <v>191</v>
      </c>
      <c r="I90" s="11" t="s">
        <v>176</v>
      </c>
      <c r="J90" s="11" t="s">
        <v>69</v>
      </c>
      <c r="K90" s="11" t="s">
        <v>58</v>
      </c>
    </row>
    <row r="91" customFormat="false" ht="15" hidden="false" customHeight="false" outlineLevel="0" collapsed="false">
      <c r="A91" s="0" t="n">
        <v>1134</v>
      </c>
      <c r="B91" s="10" t="n">
        <v>45532</v>
      </c>
      <c r="C91" s="11" t="s">
        <v>192</v>
      </c>
      <c r="D91" s="11" t="s">
        <v>59</v>
      </c>
      <c r="E91" s="11" t="s">
        <v>102</v>
      </c>
      <c r="F91" s="11" t="s">
        <v>103</v>
      </c>
      <c r="G91" s="0" t="n">
        <v>5</v>
      </c>
      <c r="H91" s="0" t="n">
        <v>-1782.43</v>
      </c>
      <c r="I91" s="11" t="s">
        <v>39</v>
      </c>
      <c r="J91" s="11" t="s">
        <v>69</v>
      </c>
      <c r="K91" s="11" t="s">
        <v>47</v>
      </c>
    </row>
    <row r="92" customFormat="false" ht="15" hidden="false" customHeight="false" outlineLevel="0" collapsed="false">
      <c r="A92" s="0" t="n">
        <v>1175</v>
      </c>
      <c r="B92" s="10" t="n">
        <v>45372</v>
      </c>
      <c r="C92" s="11" t="s">
        <v>125</v>
      </c>
      <c r="D92" s="11" t="s">
        <v>77</v>
      </c>
      <c r="E92" s="11" t="s">
        <v>83</v>
      </c>
      <c r="F92" s="11" t="s">
        <v>146</v>
      </c>
      <c r="G92" s="0" t="n">
        <v>8</v>
      </c>
      <c r="H92" s="11" t="s">
        <v>193</v>
      </c>
      <c r="I92" s="11" t="s">
        <v>52</v>
      </c>
      <c r="J92" s="11" t="s">
        <v>73</v>
      </c>
      <c r="K92" s="11" t="s">
        <v>86</v>
      </c>
    </row>
    <row r="93" customFormat="false" ht="15" hidden="false" customHeight="false" outlineLevel="0" collapsed="false">
      <c r="A93" s="0" t="n">
        <v>1089</v>
      </c>
      <c r="B93" s="10" t="n">
        <v>45314</v>
      </c>
      <c r="D93" s="11" t="s">
        <v>77</v>
      </c>
      <c r="E93" s="11" t="s">
        <v>37</v>
      </c>
      <c r="F93" s="11" t="s">
        <v>38</v>
      </c>
      <c r="G93" s="0" t="n">
        <v>7</v>
      </c>
      <c r="H93" s="0" t="n">
        <v>1170.51</v>
      </c>
      <c r="I93" s="11" t="s">
        <v>52</v>
      </c>
      <c r="J93" s="11" t="s">
        <v>85</v>
      </c>
    </row>
    <row r="94" customFormat="false" ht="15" hidden="false" customHeight="false" outlineLevel="0" collapsed="false">
      <c r="A94" s="0" t="n">
        <v>1232</v>
      </c>
      <c r="B94" s="10" t="n">
        <v>45646</v>
      </c>
      <c r="C94" s="11" t="s">
        <v>194</v>
      </c>
      <c r="D94" s="11" t="s">
        <v>59</v>
      </c>
      <c r="E94" s="11" t="s">
        <v>37</v>
      </c>
      <c r="F94" s="11" t="s">
        <v>159</v>
      </c>
      <c r="G94" s="0" t="n">
        <v>1</v>
      </c>
      <c r="H94" s="0" t="n">
        <v>2773.99</v>
      </c>
      <c r="I94" s="11" t="s">
        <v>39</v>
      </c>
      <c r="J94" s="11" t="s">
        <v>115</v>
      </c>
      <c r="K94" s="11" t="s">
        <v>80</v>
      </c>
    </row>
    <row r="95" customFormat="false" ht="15" hidden="false" customHeight="false" outlineLevel="0" collapsed="false">
      <c r="A95" s="0" t="n">
        <v>1124</v>
      </c>
      <c r="B95" s="10" t="n">
        <v>45582</v>
      </c>
      <c r="C95" s="11" t="s">
        <v>195</v>
      </c>
      <c r="E95" s="11" t="s">
        <v>50</v>
      </c>
      <c r="F95" s="11" t="s">
        <v>99</v>
      </c>
      <c r="G95" s="0" t="n">
        <v>3</v>
      </c>
      <c r="H95" s="0" t="n">
        <v>489.08</v>
      </c>
      <c r="I95" s="11" t="s">
        <v>46</v>
      </c>
      <c r="J95" s="11" t="s">
        <v>115</v>
      </c>
      <c r="K95" s="11" t="s">
        <v>47</v>
      </c>
    </row>
    <row r="96" customFormat="false" ht="15" hidden="false" customHeight="false" outlineLevel="0" collapsed="false">
      <c r="A96" s="0" t="n">
        <v>1056</v>
      </c>
      <c r="B96" s="10" t="n">
        <v>45434</v>
      </c>
      <c r="C96" s="11" t="s">
        <v>196</v>
      </c>
      <c r="D96" s="11" t="s">
        <v>65</v>
      </c>
      <c r="E96" s="11" t="s">
        <v>60</v>
      </c>
      <c r="F96" s="11" t="s">
        <v>117</v>
      </c>
      <c r="G96" s="0" t="n">
        <v>8</v>
      </c>
      <c r="H96" s="0" t="n">
        <v>77.76</v>
      </c>
      <c r="I96" s="11" t="s">
        <v>46</v>
      </c>
      <c r="J96" s="11" t="s">
        <v>85</v>
      </c>
      <c r="K96" s="11" t="s">
        <v>58</v>
      </c>
    </row>
    <row r="97" customFormat="false" ht="15" hidden="false" customHeight="false" outlineLevel="0" collapsed="false">
      <c r="A97" s="0" t="n">
        <v>1212</v>
      </c>
      <c r="B97" s="10" t="n">
        <v>45343</v>
      </c>
      <c r="C97" s="11" t="s">
        <v>128</v>
      </c>
      <c r="D97" s="11" t="s">
        <v>77</v>
      </c>
      <c r="E97" s="11" t="s">
        <v>37</v>
      </c>
      <c r="F97" s="11" t="s">
        <v>108</v>
      </c>
      <c r="G97" s="0" t="n">
        <v>10</v>
      </c>
      <c r="H97" s="0" t="n">
        <v>2022.63</v>
      </c>
      <c r="I97" s="11" t="s">
        <v>46</v>
      </c>
      <c r="J97" s="11" t="s">
        <v>79</v>
      </c>
      <c r="K97" s="11" t="s">
        <v>53</v>
      </c>
    </row>
    <row r="98" customFormat="false" ht="15" hidden="false" customHeight="false" outlineLevel="0" collapsed="false">
      <c r="A98" s="0" t="n">
        <v>1216</v>
      </c>
      <c r="B98" s="10" t="n">
        <v>45648</v>
      </c>
      <c r="C98" s="11" t="s">
        <v>197</v>
      </c>
      <c r="D98" s="11" t="s">
        <v>43</v>
      </c>
      <c r="E98" s="11" t="s">
        <v>66</v>
      </c>
      <c r="F98" s="11" t="s">
        <v>55</v>
      </c>
      <c r="G98" s="0" t="n">
        <v>5</v>
      </c>
      <c r="H98" s="0" t="n">
        <v>1141.85</v>
      </c>
      <c r="I98" s="11" t="s">
        <v>68</v>
      </c>
      <c r="J98" s="11" t="s">
        <v>115</v>
      </c>
      <c r="K98" s="11" t="s">
        <v>58</v>
      </c>
    </row>
    <row r="99" customFormat="false" ht="15" hidden="false" customHeight="false" outlineLevel="0" collapsed="false">
      <c r="A99" s="0" t="n">
        <v>1186</v>
      </c>
      <c r="B99" s="10" t="n">
        <v>45597</v>
      </c>
      <c r="C99" s="11" t="s">
        <v>116</v>
      </c>
      <c r="D99" s="11" t="s">
        <v>36</v>
      </c>
      <c r="E99" s="11" t="s">
        <v>50</v>
      </c>
      <c r="F99" s="11" t="s">
        <v>72</v>
      </c>
      <c r="G99" s="0" t="n">
        <v>1</v>
      </c>
      <c r="H99" s="0" t="n">
        <v>1758.9</v>
      </c>
      <c r="I99" s="11" t="s">
        <v>52</v>
      </c>
      <c r="J99" s="11" t="s">
        <v>76</v>
      </c>
      <c r="K99" s="11" t="s">
        <v>198</v>
      </c>
    </row>
    <row r="100" customFormat="false" ht="15" hidden="false" customHeight="false" outlineLevel="0" collapsed="false">
      <c r="A100" s="0" t="n">
        <v>1195</v>
      </c>
      <c r="B100" s="10" t="n">
        <v>45439</v>
      </c>
      <c r="C100" s="11" t="s">
        <v>199</v>
      </c>
      <c r="D100" s="11" t="s">
        <v>82</v>
      </c>
      <c r="E100" s="11" t="s">
        <v>102</v>
      </c>
      <c r="F100" s="11" t="s">
        <v>121</v>
      </c>
      <c r="G100" s="0" t="n">
        <v>2</v>
      </c>
      <c r="H100" s="0" t="n">
        <v>1963.85</v>
      </c>
      <c r="I100" s="11" t="s">
        <v>52</v>
      </c>
      <c r="J100" s="11" t="s">
        <v>69</v>
      </c>
      <c r="K100" s="11" t="s">
        <v>80</v>
      </c>
    </row>
    <row r="101" customFormat="false" ht="15" hidden="false" customHeight="false" outlineLevel="0" collapsed="false">
      <c r="A101" s="0" t="n">
        <v>1214</v>
      </c>
      <c r="B101" s="10" t="n">
        <v>45636</v>
      </c>
      <c r="C101" s="11" t="s">
        <v>184</v>
      </c>
      <c r="D101" s="11" t="s">
        <v>59</v>
      </c>
      <c r="E101" s="11" t="s">
        <v>66</v>
      </c>
      <c r="F101" s="11" t="s">
        <v>67</v>
      </c>
      <c r="G101" s="0" t="n">
        <v>3</v>
      </c>
      <c r="H101" s="0" t="n">
        <v>2957.37</v>
      </c>
      <c r="I101" s="11" t="s">
        <v>52</v>
      </c>
      <c r="J101" s="11" t="s">
        <v>85</v>
      </c>
      <c r="K101" s="11" t="s">
        <v>47</v>
      </c>
    </row>
    <row r="102" customFormat="false" ht="15" hidden="false" customHeight="false" outlineLevel="0" collapsed="false">
      <c r="A102" s="0" t="n">
        <v>1298</v>
      </c>
      <c r="B102" s="10" t="n">
        <v>45425</v>
      </c>
      <c r="C102" s="11" t="s">
        <v>157</v>
      </c>
      <c r="D102" s="11" t="s">
        <v>49</v>
      </c>
      <c r="E102" s="11" t="s">
        <v>37</v>
      </c>
      <c r="F102" s="11" t="s">
        <v>93</v>
      </c>
      <c r="G102" s="0" t="n">
        <v>6</v>
      </c>
      <c r="H102" s="0" t="n">
        <v>967.81</v>
      </c>
      <c r="I102" s="11" t="s">
        <v>39</v>
      </c>
      <c r="J102" s="11" t="s">
        <v>69</v>
      </c>
      <c r="K102" s="11" t="s">
        <v>41</v>
      </c>
    </row>
    <row r="103" customFormat="false" ht="15" hidden="false" customHeight="false" outlineLevel="0" collapsed="false">
      <c r="A103" s="0" t="n">
        <v>1170</v>
      </c>
      <c r="B103" s="10" t="n">
        <v>45468</v>
      </c>
      <c r="C103" s="11" t="s">
        <v>200</v>
      </c>
      <c r="D103" s="11" t="s">
        <v>43</v>
      </c>
      <c r="E103" s="11" t="s">
        <v>102</v>
      </c>
      <c r="F103" s="11" t="s">
        <v>151</v>
      </c>
      <c r="G103" s="0" t="n">
        <v>3</v>
      </c>
      <c r="H103" s="0" t="n">
        <v>1309.2</v>
      </c>
      <c r="I103" s="11" t="s">
        <v>46</v>
      </c>
      <c r="J103" s="11" t="s">
        <v>79</v>
      </c>
      <c r="K103" s="11" t="s">
        <v>80</v>
      </c>
    </row>
    <row r="104" customFormat="false" ht="15" hidden="false" customHeight="false" outlineLevel="0" collapsed="false">
      <c r="A104" s="0" t="n">
        <v>1226</v>
      </c>
      <c r="B104" s="10" t="n">
        <v>45295</v>
      </c>
      <c r="C104" s="11" t="s">
        <v>134</v>
      </c>
      <c r="D104" s="11" t="s">
        <v>36</v>
      </c>
      <c r="E104" s="11" t="s">
        <v>50</v>
      </c>
      <c r="F104" s="11" t="s">
        <v>72</v>
      </c>
      <c r="G104" s="0" t="n">
        <v>2</v>
      </c>
      <c r="H104" s="0" t="n">
        <v>2127.37</v>
      </c>
      <c r="I104" s="11" t="s">
        <v>46</v>
      </c>
      <c r="J104" s="11" t="s">
        <v>79</v>
      </c>
      <c r="K104" s="11" t="s">
        <v>63</v>
      </c>
    </row>
    <row r="105" customFormat="false" ht="15" hidden="false" customHeight="false" outlineLevel="0" collapsed="false">
      <c r="A105" s="0" t="n">
        <v>1274</v>
      </c>
      <c r="B105" s="10" t="n">
        <v>45650</v>
      </c>
      <c r="C105" s="11" t="s">
        <v>201</v>
      </c>
      <c r="D105" s="11" t="s">
        <v>65</v>
      </c>
      <c r="E105" s="11" t="s">
        <v>50</v>
      </c>
      <c r="F105" s="11" t="s">
        <v>99</v>
      </c>
      <c r="G105" s="0" t="n">
        <v>2</v>
      </c>
      <c r="H105" s="0" t="n">
        <v>23.24</v>
      </c>
      <c r="I105" s="11" t="s">
        <v>68</v>
      </c>
      <c r="J105" s="11" t="s">
        <v>115</v>
      </c>
      <c r="K105" s="11" t="s">
        <v>202</v>
      </c>
    </row>
    <row r="106" customFormat="false" ht="15" hidden="false" customHeight="false" outlineLevel="0" collapsed="false">
      <c r="A106" s="0" t="n">
        <v>1221</v>
      </c>
      <c r="B106" s="10" t="n">
        <v>45436</v>
      </c>
      <c r="D106" s="11" t="s">
        <v>112</v>
      </c>
      <c r="E106" s="11" t="s">
        <v>66</v>
      </c>
      <c r="F106" s="11" t="s">
        <v>55</v>
      </c>
      <c r="G106" s="0" t="n">
        <v>5</v>
      </c>
      <c r="H106" s="0" t="n">
        <v>799.45</v>
      </c>
      <c r="I106" s="11" t="s">
        <v>68</v>
      </c>
      <c r="J106" s="11" t="s">
        <v>85</v>
      </c>
      <c r="K106" s="11" t="s">
        <v>41</v>
      </c>
    </row>
    <row r="107" customFormat="false" ht="15" hidden="false" customHeight="false" outlineLevel="0" collapsed="false">
      <c r="A107" s="0" t="n">
        <v>1225</v>
      </c>
      <c r="B107" s="10" t="n">
        <v>45378</v>
      </c>
      <c r="C107" s="11" t="s">
        <v>92</v>
      </c>
      <c r="D107" s="11" t="s">
        <v>77</v>
      </c>
      <c r="E107" s="11" t="s">
        <v>37</v>
      </c>
      <c r="F107" s="11" t="s">
        <v>93</v>
      </c>
      <c r="G107" s="0" t="n">
        <v>3</v>
      </c>
      <c r="H107" s="0" t="n">
        <v>2752.36</v>
      </c>
      <c r="I107" s="11" t="s">
        <v>46</v>
      </c>
      <c r="J107" s="11" t="s">
        <v>40</v>
      </c>
      <c r="K107" s="11" t="s">
        <v>41</v>
      </c>
    </row>
    <row r="108" customFormat="false" ht="15" hidden="false" customHeight="false" outlineLevel="0" collapsed="false">
      <c r="A108" s="0" t="n">
        <v>1080</v>
      </c>
      <c r="B108" s="10" t="n">
        <v>45557</v>
      </c>
      <c r="C108" s="11" t="s">
        <v>203</v>
      </c>
      <c r="D108" s="11" t="s">
        <v>43</v>
      </c>
      <c r="E108" s="11" t="s">
        <v>37</v>
      </c>
      <c r="F108" s="11" t="s">
        <v>38</v>
      </c>
      <c r="G108" s="0" t="n">
        <v>10</v>
      </c>
      <c r="H108" s="0" t="n">
        <v>1318.94</v>
      </c>
      <c r="I108" s="11" t="s">
        <v>68</v>
      </c>
      <c r="J108" s="11" t="s">
        <v>62</v>
      </c>
      <c r="K108" s="11" t="s">
        <v>204</v>
      </c>
    </row>
    <row r="109" customFormat="false" ht="15" hidden="false" customHeight="false" outlineLevel="0" collapsed="false">
      <c r="A109" s="0" t="n">
        <v>1206</v>
      </c>
      <c r="B109" s="10" t="n">
        <v>45359</v>
      </c>
      <c r="C109" s="11" t="s">
        <v>74</v>
      </c>
      <c r="D109" s="11" t="s">
        <v>77</v>
      </c>
      <c r="F109" s="11" t="s">
        <v>84</v>
      </c>
      <c r="G109" s="0" t="n">
        <v>10</v>
      </c>
      <c r="H109" s="0" t="n">
        <v>192.06</v>
      </c>
      <c r="I109" s="11" t="s">
        <v>68</v>
      </c>
      <c r="J109" s="11" t="s">
        <v>85</v>
      </c>
      <c r="K109" s="11" t="s">
        <v>53</v>
      </c>
    </row>
    <row r="110" customFormat="false" ht="15" hidden="false" customHeight="false" outlineLevel="0" collapsed="false">
      <c r="A110" s="0" t="n">
        <v>1148</v>
      </c>
      <c r="B110" s="10" t="n">
        <v>45319</v>
      </c>
      <c r="C110" s="11" t="s">
        <v>111</v>
      </c>
      <c r="D110" s="11" t="s">
        <v>112</v>
      </c>
      <c r="E110" s="11" t="s">
        <v>83</v>
      </c>
      <c r="F110" s="11" t="s">
        <v>84</v>
      </c>
      <c r="G110" s="0" t="n">
        <v>4</v>
      </c>
      <c r="H110" s="0" t="n">
        <v>1170.78</v>
      </c>
      <c r="I110" s="11" t="s">
        <v>46</v>
      </c>
      <c r="J110" s="11" t="s">
        <v>85</v>
      </c>
      <c r="K110" s="11" t="s">
        <v>58</v>
      </c>
    </row>
    <row r="111" customFormat="false" ht="15" hidden="false" customHeight="false" outlineLevel="0" collapsed="false">
      <c r="A111" s="0" t="n">
        <v>1045</v>
      </c>
      <c r="B111" s="10" t="n">
        <v>45304</v>
      </c>
      <c r="C111" s="11" t="s">
        <v>205</v>
      </c>
      <c r="D111" s="11" t="s">
        <v>77</v>
      </c>
      <c r="E111" s="11" t="s">
        <v>137</v>
      </c>
      <c r="F111" s="11" t="s">
        <v>159</v>
      </c>
      <c r="G111" s="0" t="n">
        <v>10</v>
      </c>
      <c r="H111" s="0" t="n">
        <v>2552.22</v>
      </c>
      <c r="I111" s="11" t="s">
        <v>46</v>
      </c>
      <c r="J111" s="11" t="s">
        <v>76</v>
      </c>
      <c r="K111" s="11" t="s">
        <v>74</v>
      </c>
    </row>
    <row r="112" customFormat="false" ht="15" hidden="false" customHeight="false" outlineLevel="0" collapsed="false">
      <c r="A112" s="0" t="n">
        <v>1087</v>
      </c>
      <c r="B112" s="10" t="n">
        <v>45504</v>
      </c>
      <c r="C112" s="11" t="s">
        <v>157</v>
      </c>
      <c r="D112" s="11" t="s">
        <v>59</v>
      </c>
      <c r="E112" s="11" t="s">
        <v>206</v>
      </c>
      <c r="F112" s="11" t="s">
        <v>164</v>
      </c>
      <c r="G112" s="0" t="n">
        <v>1</v>
      </c>
      <c r="H112" s="0" t="n">
        <v>862.86</v>
      </c>
      <c r="I112" s="11" t="s">
        <v>39</v>
      </c>
      <c r="J112" s="11" t="s">
        <v>73</v>
      </c>
      <c r="K112" s="11" t="s">
        <v>80</v>
      </c>
    </row>
    <row r="113" customFormat="false" ht="15" hidden="false" customHeight="false" outlineLevel="0" collapsed="false">
      <c r="A113" s="0" t="n">
        <v>1069</v>
      </c>
      <c r="B113" s="10" t="n">
        <v>45566</v>
      </c>
      <c r="C113" s="11" t="s">
        <v>207</v>
      </c>
      <c r="D113" s="11" t="s">
        <v>36</v>
      </c>
      <c r="E113" s="11" t="s">
        <v>60</v>
      </c>
      <c r="F113" s="11" t="s">
        <v>106</v>
      </c>
      <c r="G113" s="0" t="n">
        <v>8</v>
      </c>
      <c r="H113" s="0" t="n">
        <v>843.97</v>
      </c>
      <c r="I113" s="11" t="s">
        <v>39</v>
      </c>
      <c r="J113" s="11" t="s">
        <v>115</v>
      </c>
      <c r="K113" s="11" t="s">
        <v>58</v>
      </c>
    </row>
    <row r="114" customFormat="false" ht="15" hidden="false" customHeight="false" outlineLevel="0" collapsed="false">
      <c r="A114" s="0" t="n">
        <v>1017</v>
      </c>
      <c r="B114" s="10" t="n">
        <v>45496</v>
      </c>
      <c r="C114" s="11" t="s">
        <v>172</v>
      </c>
      <c r="D114" s="11" t="s">
        <v>77</v>
      </c>
      <c r="E114" s="11" t="s">
        <v>50</v>
      </c>
      <c r="F114" s="11" t="s">
        <v>99</v>
      </c>
      <c r="G114" s="0" t="n">
        <v>2</v>
      </c>
      <c r="H114" s="0" t="n">
        <v>758.76</v>
      </c>
      <c r="J114" s="11" t="s">
        <v>76</v>
      </c>
      <c r="K114" s="11" t="s">
        <v>53</v>
      </c>
    </row>
    <row r="115" customFormat="false" ht="15" hidden="false" customHeight="false" outlineLevel="0" collapsed="false">
      <c r="A115" s="0" t="n">
        <v>1178</v>
      </c>
      <c r="B115" s="10" t="n">
        <v>45587</v>
      </c>
      <c r="C115" s="11" t="s">
        <v>184</v>
      </c>
      <c r="D115" s="11" t="s">
        <v>43</v>
      </c>
      <c r="E115" s="11" t="s">
        <v>37</v>
      </c>
      <c r="F115" s="11" t="s">
        <v>93</v>
      </c>
      <c r="G115" s="0" t="n">
        <v>8</v>
      </c>
      <c r="H115" s="0" t="n">
        <v>2987.99</v>
      </c>
      <c r="I115" s="11" t="s">
        <v>68</v>
      </c>
      <c r="J115" s="11" t="s">
        <v>122</v>
      </c>
      <c r="K115" s="11" t="s">
        <v>47</v>
      </c>
    </row>
    <row r="116" customFormat="false" ht="15" hidden="false" customHeight="false" outlineLevel="0" collapsed="false">
      <c r="A116" s="0" t="n">
        <v>1128</v>
      </c>
      <c r="B116" s="0" t="s">
        <v>208</v>
      </c>
      <c r="C116" s="0" t="s">
        <v>153</v>
      </c>
      <c r="D116" s="0" t="s">
        <v>112</v>
      </c>
      <c r="E116" s="0" t="s">
        <v>102</v>
      </c>
      <c r="F116" s="0" t="s">
        <v>151</v>
      </c>
      <c r="G116" s="0" t="n">
        <v>2</v>
      </c>
      <c r="H116" s="0" t="s">
        <v>209</v>
      </c>
      <c r="I116" s="0" t="s">
        <v>210</v>
      </c>
      <c r="J116" s="0" t="s">
        <v>85</v>
      </c>
      <c r="K116" s="0" t="s">
        <v>53</v>
      </c>
    </row>
    <row r="117" customFormat="false" ht="15" hidden="false" customHeight="false" outlineLevel="0" collapsed="false">
      <c r="A117" s="0" t="n">
        <v>1145</v>
      </c>
      <c r="B117" s="10" t="n">
        <v>45517</v>
      </c>
      <c r="C117" s="11" t="s">
        <v>211</v>
      </c>
      <c r="D117" s="11" t="s">
        <v>59</v>
      </c>
      <c r="E117" s="11" t="s">
        <v>50</v>
      </c>
      <c r="F117" s="11" t="s">
        <v>51</v>
      </c>
      <c r="G117" s="0" t="n">
        <v>7</v>
      </c>
      <c r="H117" s="0" t="n">
        <v>1518.66</v>
      </c>
      <c r="I117" s="11" t="s">
        <v>68</v>
      </c>
      <c r="J117" s="11" t="s">
        <v>62</v>
      </c>
      <c r="K117" s="11" t="s">
        <v>58</v>
      </c>
    </row>
    <row r="118" customFormat="false" ht="15" hidden="false" customHeight="false" outlineLevel="0" collapsed="false">
      <c r="A118" s="0" t="n">
        <v>1153</v>
      </c>
      <c r="B118" s="10" t="n">
        <v>45560</v>
      </c>
      <c r="C118" s="11" t="s">
        <v>166</v>
      </c>
      <c r="D118" s="11" t="s">
        <v>82</v>
      </c>
      <c r="E118" s="11" t="s">
        <v>37</v>
      </c>
      <c r="F118" s="11" t="s">
        <v>108</v>
      </c>
      <c r="G118" s="0" t="n">
        <v>7</v>
      </c>
      <c r="H118" s="0" t="n">
        <v>2622.53</v>
      </c>
      <c r="I118" s="11" t="s">
        <v>46</v>
      </c>
      <c r="J118" s="11" t="s">
        <v>73</v>
      </c>
      <c r="K118" s="11" t="s">
        <v>86</v>
      </c>
    </row>
    <row r="119" customFormat="false" ht="15" hidden="false" customHeight="false" outlineLevel="0" collapsed="false">
      <c r="A119" s="0" t="n">
        <v>1081</v>
      </c>
      <c r="B119" s="10" t="n">
        <v>45462</v>
      </c>
      <c r="C119" s="11" t="s">
        <v>64</v>
      </c>
      <c r="D119" s="11" t="s">
        <v>65</v>
      </c>
      <c r="E119" s="11" t="s">
        <v>60</v>
      </c>
      <c r="F119" s="11" t="s">
        <v>117</v>
      </c>
      <c r="G119" s="0" t="n">
        <v>3</v>
      </c>
      <c r="H119" s="0" t="n">
        <v>1002.81</v>
      </c>
      <c r="I119" s="11" t="s">
        <v>68</v>
      </c>
      <c r="J119" s="11" t="s">
        <v>122</v>
      </c>
      <c r="K119" s="11" t="s">
        <v>74</v>
      </c>
    </row>
    <row r="120" customFormat="false" ht="15" hidden="false" customHeight="false" outlineLevel="0" collapsed="false">
      <c r="A120" s="0" t="n">
        <v>1004</v>
      </c>
      <c r="B120" s="10" t="n">
        <v>45341</v>
      </c>
      <c r="C120" s="11" t="s">
        <v>48</v>
      </c>
      <c r="D120" s="11" t="s">
        <v>112</v>
      </c>
      <c r="E120" s="11" t="s">
        <v>83</v>
      </c>
      <c r="F120" s="11" t="s">
        <v>84</v>
      </c>
      <c r="G120" s="0" t="n">
        <v>10</v>
      </c>
      <c r="H120" s="0" t="n">
        <v>808.27</v>
      </c>
      <c r="I120" s="11" t="s">
        <v>46</v>
      </c>
      <c r="J120" s="11" t="s">
        <v>85</v>
      </c>
      <c r="K120" s="11" t="s">
        <v>41</v>
      </c>
    </row>
    <row r="121" customFormat="false" ht="15" hidden="false" customHeight="false" outlineLevel="0" collapsed="false">
      <c r="A121" s="0" t="n">
        <v>1224</v>
      </c>
      <c r="B121" s="10" t="n">
        <v>45547</v>
      </c>
      <c r="C121" s="11" t="s">
        <v>212</v>
      </c>
      <c r="D121" s="11" t="s">
        <v>112</v>
      </c>
      <c r="E121" s="11" t="s">
        <v>66</v>
      </c>
      <c r="F121" s="11" t="s">
        <v>88</v>
      </c>
      <c r="G121" s="0" t="n">
        <v>5</v>
      </c>
      <c r="H121" s="0" t="n">
        <v>2294.81</v>
      </c>
      <c r="I121" s="11" t="s">
        <v>68</v>
      </c>
      <c r="J121" s="11" t="s">
        <v>85</v>
      </c>
      <c r="K121" s="11" t="s">
        <v>63</v>
      </c>
    </row>
    <row r="122" customFormat="false" ht="15" hidden="false" customHeight="false" outlineLevel="0" collapsed="false">
      <c r="A122" s="0" t="n">
        <v>1152</v>
      </c>
      <c r="B122" s="10" t="n">
        <v>45586</v>
      </c>
      <c r="C122" s="11" t="s">
        <v>213</v>
      </c>
      <c r="D122" s="11" t="s">
        <v>43</v>
      </c>
      <c r="E122" s="11" t="s">
        <v>50</v>
      </c>
      <c r="F122" s="11" t="s">
        <v>51</v>
      </c>
      <c r="G122" s="0" t="n">
        <v>5</v>
      </c>
      <c r="H122" s="0" t="n">
        <v>1299.13</v>
      </c>
      <c r="I122" s="11" t="s">
        <v>39</v>
      </c>
      <c r="J122" s="11" t="s">
        <v>115</v>
      </c>
      <c r="K122" s="11" t="s">
        <v>74</v>
      </c>
    </row>
    <row r="123" customFormat="false" ht="15" hidden="false" customHeight="false" outlineLevel="0" collapsed="false">
      <c r="A123" s="0" t="n">
        <v>1241</v>
      </c>
      <c r="B123" s="10" t="n">
        <v>45324</v>
      </c>
      <c r="C123" s="11" t="s">
        <v>214</v>
      </c>
      <c r="D123" s="11" t="s">
        <v>59</v>
      </c>
      <c r="E123" s="11" t="s">
        <v>102</v>
      </c>
      <c r="F123" s="11" t="s">
        <v>121</v>
      </c>
      <c r="G123" s="0" t="n">
        <v>7</v>
      </c>
      <c r="H123" s="0" t="n">
        <v>913.26</v>
      </c>
      <c r="I123" s="11" t="s">
        <v>46</v>
      </c>
      <c r="J123" s="11" t="s">
        <v>104</v>
      </c>
      <c r="K123" s="11" t="s">
        <v>47</v>
      </c>
    </row>
    <row r="124" customFormat="false" ht="15" hidden="false" customHeight="false" outlineLevel="0" collapsed="false">
      <c r="A124" s="0" t="n">
        <v>1003</v>
      </c>
      <c r="B124" s="10" t="n">
        <v>45295</v>
      </c>
      <c r="C124" s="11" t="s">
        <v>70</v>
      </c>
      <c r="D124" s="11" t="s">
        <v>49</v>
      </c>
      <c r="E124" s="11" t="s">
        <v>66</v>
      </c>
      <c r="F124" s="11" t="s">
        <v>55</v>
      </c>
      <c r="G124" s="0" t="n">
        <v>6</v>
      </c>
      <c r="I124" s="11" t="s">
        <v>52</v>
      </c>
      <c r="J124" s="11" t="s">
        <v>104</v>
      </c>
      <c r="K124" s="11" t="s">
        <v>41</v>
      </c>
    </row>
    <row r="125" customFormat="false" ht="15" hidden="false" customHeight="false" outlineLevel="0" collapsed="false">
      <c r="A125" s="0" t="n">
        <v>1286</v>
      </c>
      <c r="C125" s="0" t="s">
        <v>215</v>
      </c>
      <c r="D125" s="0" t="s">
        <v>43</v>
      </c>
      <c r="E125" s="0" t="s">
        <v>216</v>
      </c>
      <c r="F125" s="0" t="s">
        <v>151</v>
      </c>
      <c r="G125" s="0" t="n">
        <v>2</v>
      </c>
      <c r="H125" s="0" t="n">
        <v>0</v>
      </c>
      <c r="I125" s="0" t="s">
        <v>52</v>
      </c>
      <c r="J125" s="0" t="s">
        <v>40</v>
      </c>
      <c r="K125" s="0" t="s">
        <v>217</v>
      </c>
    </row>
    <row r="126" customFormat="false" ht="15" hidden="false" customHeight="false" outlineLevel="0" collapsed="false">
      <c r="A126" s="0" t="n">
        <v>1031</v>
      </c>
      <c r="B126" s="10" t="n">
        <v>45467</v>
      </c>
      <c r="C126" s="11" t="s">
        <v>218</v>
      </c>
      <c r="D126" s="11" t="s">
        <v>59</v>
      </c>
      <c r="E126" s="11" t="s">
        <v>66</v>
      </c>
      <c r="F126" s="11" t="s">
        <v>88</v>
      </c>
      <c r="G126" s="0" t="n">
        <v>9</v>
      </c>
      <c r="H126" s="0" t="n">
        <v>1475.82</v>
      </c>
      <c r="I126" s="11" t="s">
        <v>46</v>
      </c>
      <c r="J126" s="11" t="s">
        <v>79</v>
      </c>
      <c r="K126" s="11" t="s">
        <v>74</v>
      </c>
    </row>
    <row r="127" customFormat="false" ht="15" hidden="false" customHeight="false" outlineLevel="0" collapsed="false">
      <c r="A127" s="0" t="n">
        <v>1167</v>
      </c>
      <c r="B127" s="10" t="n">
        <v>45477</v>
      </c>
      <c r="C127" s="11" t="s">
        <v>107</v>
      </c>
      <c r="D127" s="11" t="s">
        <v>65</v>
      </c>
      <c r="E127" s="11" t="s">
        <v>50</v>
      </c>
      <c r="F127" s="11" t="s">
        <v>219</v>
      </c>
      <c r="G127" s="0" t="n">
        <v>4</v>
      </c>
      <c r="H127" s="0" t="n">
        <v>2380.36</v>
      </c>
      <c r="I127" s="11" t="s">
        <v>52</v>
      </c>
      <c r="J127" s="11" t="s">
        <v>76</v>
      </c>
      <c r="K127" s="11" t="s">
        <v>53</v>
      </c>
    </row>
    <row r="128" customFormat="false" ht="15" hidden="false" customHeight="false" outlineLevel="0" collapsed="false">
      <c r="A128" s="0" t="n">
        <v>1127</v>
      </c>
      <c r="B128" s="10" t="n">
        <v>45362</v>
      </c>
      <c r="C128" s="11" t="s">
        <v>220</v>
      </c>
      <c r="D128" s="11" t="s">
        <v>112</v>
      </c>
      <c r="E128" s="11" t="s">
        <v>60</v>
      </c>
      <c r="F128" s="11" t="s">
        <v>91</v>
      </c>
      <c r="G128" s="0" t="n">
        <v>2</v>
      </c>
      <c r="H128" s="0" t="n">
        <v>43.04</v>
      </c>
      <c r="I128" s="11" t="s">
        <v>68</v>
      </c>
      <c r="J128" s="11" t="s">
        <v>62</v>
      </c>
      <c r="K128" s="11" t="s">
        <v>80</v>
      </c>
    </row>
    <row r="129" customFormat="false" ht="15" hidden="false" customHeight="false" outlineLevel="0" collapsed="false">
      <c r="A129" s="0" t="n">
        <v>1138</v>
      </c>
      <c r="B129" s="10" t="n">
        <v>45436</v>
      </c>
      <c r="C129" s="11" t="s">
        <v>221</v>
      </c>
      <c r="D129" s="11" t="s">
        <v>112</v>
      </c>
      <c r="E129" s="11" t="s">
        <v>60</v>
      </c>
      <c r="F129" s="11" t="s">
        <v>61</v>
      </c>
      <c r="G129" s="0" t="n">
        <v>10</v>
      </c>
      <c r="H129" s="0" t="n">
        <v>176.05</v>
      </c>
      <c r="I129" s="11" t="s">
        <v>39</v>
      </c>
      <c r="J129" s="11" t="s">
        <v>79</v>
      </c>
      <c r="K129" s="11" t="s">
        <v>86</v>
      </c>
    </row>
    <row r="130" customFormat="false" ht="15" hidden="false" customHeight="false" outlineLevel="0" collapsed="false">
      <c r="A130" s="0" t="n">
        <v>1195</v>
      </c>
      <c r="B130" s="10" t="n">
        <v>45439</v>
      </c>
      <c r="C130" s="11" t="s">
        <v>199</v>
      </c>
      <c r="D130" s="11" t="s">
        <v>82</v>
      </c>
      <c r="E130" s="11" t="s">
        <v>102</v>
      </c>
      <c r="F130" s="11" t="s">
        <v>121</v>
      </c>
      <c r="G130" s="0" t="n">
        <v>2</v>
      </c>
      <c r="H130" s="0" t="n">
        <v>1963.85</v>
      </c>
      <c r="I130" s="11" t="s">
        <v>52</v>
      </c>
      <c r="J130" s="11" t="s">
        <v>69</v>
      </c>
      <c r="K130" s="11" t="s">
        <v>80</v>
      </c>
    </row>
    <row r="131" customFormat="false" ht="15" hidden="false" customHeight="false" outlineLevel="0" collapsed="false">
      <c r="A131" s="0" t="n">
        <v>1140</v>
      </c>
      <c r="B131" s="10" t="n">
        <v>45627</v>
      </c>
      <c r="C131" s="11" t="s">
        <v>222</v>
      </c>
      <c r="D131" s="11" t="s">
        <v>65</v>
      </c>
      <c r="E131" s="11" t="s">
        <v>60</v>
      </c>
      <c r="F131" s="11" t="s">
        <v>61</v>
      </c>
      <c r="G131" s="0" t="n">
        <v>-5</v>
      </c>
      <c r="H131" s="0" t="n">
        <v>1685.59</v>
      </c>
      <c r="I131" s="11" t="s">
        <v>39</v>
      </c>
      <c r="J131" s="11" t="s">
        <v>57</v>
      </c>
      <c r="K131" s="11" t="s">
        <v>41</v>
      </c>
    </row>
    <row r="132" customFormat="false" ht="15" hidden="false" customHeight="false" outlineLevel="0" collapsed="false">
      <c r="A132" s="0" t="n">
        <v>1101</v>
      </c>
      <c r="B132" s="10" t="n">
        <v>45338</v>
      </c>
      <c r="C132" s="11" t="s">
        <v>223</v>
      </c>
      <c r="D132" s="11" t="s">
        <v>49</v>
      </c>
      <c r="E132" s="11" t="s">
        <v>50</v>
      </c>
      <c r="F132" s="11" t="s">
        <v>219</v>
      </c>
      <c r="G132" s="0" t="n">
        <v>3</v>
      </c>
      <c r="H132" s="0" t="n">
        <v>618.37</v>
      </c>
      <c r="I132" s="11" t="s">
        <v>39</v>
      </c>
      <c r="J132" s="11" t="s">
        <v>76</v>
      </c>
      <c r="K132" s="11" t="s">
        <v>80</v>
      </c>
    </row>
    <row r="133" customFormat="false" ht="15" hidden="false" customHeight="false" outlineLevel="0" collapsed="false">
      <c r="A133" s="0" t="n">
        <v>1091</v>
      </c>
      <c r="C133" s="0" t="s">
        <v>224</v>
      </c>
      <c r="D133" s="0" t="s">
        <v>59</v>
      </c>
      <c r="E133" s="0" t="s">
        <v>102</v>
      </c>
      <c r="F133" s="0" t="s">
        <v>121</v>
      </c>
      <c r="G133" s="0" t="n">
        <v>6</v>
      </c>
      <c r="I133" s="0" t="s">
        <v>68</v>
      </c>
      <c r="J133" s="0" t="s">
        <v>79</v>
      </c>
      <c r="K133" s="0" t="s">
        <v>86</v>
      </c>
    </row>
    <row r="134" customFormat="false" ht="15" hidden="false" customHeight="false" outlineLevel="0" collapsed="false">
      <c r="A134" s="0" t="n">
        <v>1049</v>
      </c>
      <c r="B134" s="10" t="n">
        <v>45522</v>
      </c>
      <c r="C134" s="11" t="s">
        <v>225</v>
      </c>
      <c r="D134" s="11" t="s">
        <v>36</v>
      </c>
      <c r="E134" s="11" t="s">
        <v>50</v>
      </c>
      <c r="F134" s="11" t="s">
        <v>150</v>
      </c>
      <c r="G134" s="0" t="n">
        <v>5</v>
      </c>
      <c r="H134" s="0" t="n">
        <v>2302.12</v>
      </c>
      <c r="I134" s="11" t="s">
        <v>152</v>
      </c>
      <c r="J134" s="11" t="s">
        <v>79</v>
      </c>
      <c r="K134" s="11" t="s">
        <v>47</v>
      </c>
    </row>
    <row r="135" customFormat="false" ht="15" hidden="false" customHeight="false" outlineLevel="0" collapsed="false">
      <c r="A135" s="0" t="n">
        <v>1100</v>
      </c>
      <c r="B135" s="10" t="n">
        <v>45639</v>
      </c>
      <c r="C135" s="11" t="s">
        <v>185</v>
      </c>
      <c r="D135" s="11" t="s">
        <v>65</v>
      </c>
      <c r="E135" s="11" t="s">
        <v>66</v>
      </c>
      <c r="F135" s="11" t="s">
        <v>55</v>
      </c>
      <c r="G135" s="0" t="n">
        <v>1</v>
      </c>
      <c r="H135" s="0" t="n">
        <v>940.62</v>
      </c>
      <c r="I135" s="11" t="s">
        <v>176</v>
      </c>
      <c r="J135" s="11" t="s">
        <v>40</v>
      </c>
      <c r="K135" s="11" t="s">
        <v>86</v>
      </c>
    </row>
    <row r="136" customFormat="false" ht="15" hidden="false" customHeight="false" outlineLevel="0" collapsed="false">
      <c r="A136" s="0" t="n">
        <v>1141</v>
      </c>
      <c r="B136" s="10" t="n">
        <v>45552</v>
      </c>
      <c r="C136" s="11" t="s">
        <v>226</v>
      </c>
      <c r="D136" s="11" t="s">
        <v>112</v>
      </c>
      <c r="E136" s="11" t="s">
        <v>50</v>
      </c>
      <c r="F136" s="11" t="s">
        <v>150</v>
      </c>
      <c r="G136" s="0" t="n">
        <v>5</v>
      </c>
      <c r="H136" s="0" t="n">
        <v>557.18</v>
      </c>
      <c r="I136" s="11" t="s">
        <v>52</v>
      </c>
      <c r="J136" s="11" t="s">
        <v>85</v>
      </c>
      <c r="K136" s="11" t="s">
        <v>63</v>
      </c>
    </row>
    <row r="137" customFormat="false" ht="15" hidden="false" customHeight="false" outlineLevel="0" collapsed="false">
      <c r="A137" s="0" t="n">
        <v>1211</v>
      </c>
      <c r="B137" s="10" t="n">
        <v>45433</v>
      </c>
      <c r="C137" s="11" t="s">
        <v>227</v>
      </c>
      <c r="D137" s="11" t="s">
        <v>65</v>
      </c>
      <c r="E137" s="11" t="s">
        <v>60</v>
      </c>
      <c r="F137" s="11" t="s">
        <v>91</v>
      </c>
      <c r="G137" s="0" t="n">
        <v>1</v>
      </c>
      <c r="H137" s="0" t="n">
        <v>2432.24</v>
      </c>
      <c r="I137" s="11" t="s">
        <v>68</v>
      </c>
      <c r="J137" s="11" t="s">
        <v>69</v>
      </c>
      <c r="K137" s="11" t="s">
        <v>58</v>
      </c>
    </row>
    <row r="138" customFormat="false" ht="15" hidden="false" customHeight="false" outlineLevel="0" collapsed="false">
      <c r="A138" s="0" t="n">
        <v>1217</v>
      </c>
      <c r="B138" s="10" t="n">
        <v>45529</v>
      </c>
      <c r="C138" s="11" t="s">
        <v>228</v>
      </c>
      <c r="D138" s="11" t="s">
        <v>49</v>
      </c>
      <c r="E138" s="11" t="s">
        <v>60</v>
      </c>
      <c r="F138" s="11" t="s">
        <v>91</v>
      </c>
      <c r="G138" s="0" t="n">
        <v>7</v>
      </c>
      <c r="H138" s="0" t="n">
        <v>1680.71</v>
      </c>
      <c r="I138" s="11" t="s">
        <v>52</v>
      </c>
      <c r="J138" s="11" t="s">
        <v>104</v>
      </c>
      <c r="K138" s="11" t="s">
        <v>58</v>
      </c>
    </row>
    <row r="139" customFormat="false" ht="15" hidden="false" customHeight="false" outlineLevel="0" collapsed="false">
      <c r="A139" s="0" t="n">
        <v>1163</v>
      </c>
      <c r="B139" s="10" t="n">
        <v>45601</v>
      </c>
      <c r="C139" s="11" t="s">
        <v>185</v>
      </c>
      <c r="D139" s="11" t="s">
        <v>77</v>
      </c>
      <c r="E139" s="11" t="s">
        <v>66</v>
      </c>
      <c r="F139" s="11" t="s">
        <v>78</v>
      </c>
      <c r="G139" s="0" t="n">
        <v>6</v>
      </c>
      <c r="H139" s="0" t="n">
        <v>1128.6</v>
      </c>
      <c r="I139" s="11" t="s">
        <v>46</v>
      </c>
      <c r="J139" s="11" t="s">
        <v>62</v>
      </c>
      <c r="K139" s="11" t="s">
        <v>86</v>
      </c>
    </row>
    <row r="140" customFormat="false" ht="15" hidden="false" customHeight="false" outlineLevel="0" collapsed="false">
      <c r="A140" s="0" t="n">
        <v>1020</v>
      </c>
      <c r="B140" s="10" t="n">
        <v>45389</v>
      </c>
      <c r="C140" s="11" t="s">
        <v>229</v>
      </c>
      <c r="D140" s="11" t="s">
        <v>49</v>
      </c>
      <c r="E140" s="11" t="s">
        <v>102</v>
      </c>
      <c r="F140" s="11" t="s">
        <v>110</v>
      </c>
      <c r="G140" s="0" t="n">
        <v>6</v>
      </c>
      <c r="I140" s="11" t="s">
        <v>68</v>
      </c>
      <c r="J140" s="11" t="s">
        <v>115</v>
      </c>
      <c r="K140" s="11" t="s">
        <v>41</v>
      </c>
    </row>
    <row r="141" customFormat="false" ht="15" hidden="false" customHeight="false" outlineLevel="0" collapsed="false">
      <c r="A141" s="0" t="n">
        <v>1258</v>
      </c>
      <c r="B141" s="10" t="n">
        <v>45414</v>
      </c>
      <c r="C141" s="11" t="s">
        <v>230</v>
      </c>
      <c r="D141" s="11" t="s">
        <v>43</v>
      </c>
      <c r="E141" s="11" t="s">
        <v>231</v>
      </c>
      <c r="F141" s="11" t="s">
        <v>106</v>
      </c>
      <c r="G141" s="0" t="n">
        <v>9999</v>
      </c>
      <c r="H141" s="0" t="n">
        <v>2086.44</v>
      </c>
      <c r="I141" s="11" t="s">
        <v>68</v>
      </c>
      <c r="J141" s="11" t="s">
        <v>73</v>
      </c>
      <c r="K141" s="11" t="s">
        <v>80</v>
      </c>
    </row>
    <row r="142" customFormat="false" ht="15" hidden="false" customHeight="false" outlineLevel="0" collapsed="false">
      <c r="A142" s="0" t="n">
        <v>1284</v>
      </c>
      <c r="B142" s="10" t="n">
        <v>45567</v>
      </c>
      <c r="C142" s="11" t="s">
        <v>232</v>
      </c>
      <c r="D142" s="11" t="s">
        <v>59</v>
      </c>
      <c r="E142" s="11" t="s">
        <v>83</v>
      </c>
      <c r="F142" s="11" t="s">
        <v>189</v>
      </c>
      <c r="G142" s="0" t="n">
        <v>2</v>
      </c>
      <c r="H142" s="0" t="n">
        <v>943.52</v>
      </c>
      <c r="I142" s="11" t="s">
        <v>52</v>
      </c>
      <c r="J142" s="11" t="s">
        <v>79</v>
      </c>
      <c r="K142" s="11" t="s">
        <v>86</v>
      </c>
    </row>
    <row r="143" customFormat="false" ht="15" hidden="false" customHeight="false" outlineLevel="0" collapsed="false">
      <c r="A143" s="0" t="n">
        <v>1219</v>
      </c>
      <c r="B143" s="10" t="n">
        <v>45600</v>
      </c>
      <c r="C143" s="11" t="s">
        <v>178</v>
      </c>
      <c r="D143" s="11" t="s">
        <v>65</v>
      </c>
      <c r="E143" s="11" t="s">
        <v>102</v>
      </c>
      <c r="F143" s="11" t="s">
        <v>151</v>
      </c>
      <c r="G143" s="0" t="n">
        <v>4</v>
      </c>
      <c r="H143" s="11" t="s">
        <v>233</v>
      </c>
      <c r="I143" s="11" t="s">
        <v>234</v>
      </c>
      <c r="J143" s="11" t="s">
        <v>122</v>
      </c>
      <c r="K143" s="11" t="s">
        <v>58</v>
      </c>
    </row>
    <row r="144" customFormat="false" ht="15" hidden="false" customHeight="false" outlineLevel="0" collapsed="false">
      <c r="A144" s="0" t="n">
        <v>1184</v>
      </c>
      <c r="B144" s="10" t="n">
        <v>45555</v>
      </c>
      <c r="C144" s="11" t="s">
        <v>101</v>
      </c>
      <c r="D144" s="11" t="s">
        <v>112</v>
      </c>
      <c r="E144" s="11" t="s">
        <v>37</v>
      </c>
      <c r="F144" s="11" t="s">
        <v>167</v>
      </c>
      <c r="G144" s="0" t="n">
        <v>3</v>
      </c>
      <c r="H144" s="0" t="n">
        <v>1191</v>
      </c>
      <c r="I144" s="11" t="s">
        <v>39</v>
      </c>
      <c r="J144" s="11" t="s">
        <v>76</v>
      </c>
      <c r="K144" s="11" t="s">
        <v>63</v>
      </c>
    </row>
    <row r="145" customFormat="false" ht="15" hidden="false" customHeight="false" outlineLevel="0" collapsed="false">
      <c r="A145" s="0" t="n">
        <v>1021</v>
      </c>
      <c r="B145" s="10" t="n">
        <v>45465</v>
      </c>
      <c r="C145" s="11" t="s">
        <v>235</v>
      </c>
      <c r="D145" s="11" t="s">
        <v>36</v>
      </c>
      <c r="E145" s="11" t="s">
        <v>83</v>
      </c>
      <c r="F145" s="11" t="s">
        <v>84</v>
      </c>
      <c r="G145" s="0" t="n">
        <v>4</v>
      </c>
      <c r="H145" s="0" t="n">
        <v>1618.13</v>
      </c>
      <c r="I145" s="11" t="s">
        <v>52</v>
      </c>
      <c r="J145" s="11" t="s">
        <v>73</v>
      </c>
      <c r="K145" s="11" t="s">
        <v>80</v>
      </c>
    </row>
    <row r="146" customFormat="false" ht="15" hidden="false" customHeight="false" outlineLevel="0" collapsed="false">
      <c r="A146" s="0" t="n">
        <v>1005</v>
      </c>
      <c r="B146" s="10" t="n">
        <v>45574</v>
      </c>
      <c r="C146" s="11" t="s">
        <v>236</v>
      </c>
      <c r="D146" s="11" t="s">
        <v>112</v>
      </c>
      <c r="E146" s="11" t="s">
        <v>102</v>
      </c>
      <c r="F146" s="11" t="s">
        <v>103</v>
      </c>
      <c r="G146" s="0" t="n">
        <v>10</v>
      </c>
      <c r="H146" s="0" t="n">
        <v>593.02</v>
      </c>
      <c r="I146" s="11" t="s">
        <v>46</v>
      </c>
      <c r="J146" s="11" t="s">
        <v>115</v>
      </c>
      <c r="K146" s="11" t="s">
        <v>58</v>
      </c>
    </row>
    <row r="147" customFormat="false" ht="15" hidden="false" customHeight="false" outlineLevel="0" collapsed="false">
      <c r="A147" s="0" t="n">
        <v>1123</v>
      </c>
      <c r="B147" s="10" t="n">
        <v>45338</v>
      </c>
      <c r="C147" s="11" t="s">
        <v>107</v>
      </c>
      <c r="D147" s="11" t="s">
        <v>49</v>
      </c>
      <c r="E147" s="11" t="s">
        <v>37</v>
      </c>
      <c r="F147" s="11" t="s">
        <v>108</v>
      </c>
      <c r="G147" s="0" t="n">
        <v>7</v>
      </c>
      <c r="H147" s="0" t="n">
        <v>1371.86</v>
      </c>
      <c r="I147" s="11" t="s">
        <v>52</v>
      </c>
      <c r="J147" s="11" t="s">
        <v>104</v>
      </c>
      <c r="K147" s="11" t="s">
        <v>47</v>
      </c>
    </row>
    <row r="148" customFormat="false" ht="15" hidden="false" customHeight="false" outlineLevel="0" collapsed="false">
      <c r="A148" s="0" t="n">
        <v>1223</v>
      </c>
      <c r="B148" s="10" t="n">
        <v>45591</v>
      </c>
      <c r="C148" s="11" t="s">
        <v>155</v>
      </c>
      <c r="D148" s="11" t="s">
        <v>49</v>
      </c>
      <c r="E148" s="11" t="s">
        <v>60</v>
      </c>
      <c r="F148" s="11" t="s">
        <v>95</v>
      </c>
      <c r="G148" s="0" t="n">
        <v>5</v>
      </c>
      <c r="H148" s="0" t="n">
        <v>-474.19</v>
      </c>
      <c r="I148" s="11" t="s">
        <v>39</v>
      </c>
      <c r="J148" s="11" t="s">
        <v>69</v>
      </c>
      <c r="K148" s="11" t="s">
        <v>237</v>
      </c>
    </row>
    <row r="149" customFormat="false" ht="15" hidden="false" customHeight="false" outlineLevel="0" collapsed="false">
      <c r="A149" s="0" t="n">
        <v>1128</v>
      </c>
      <c r="B149" s="10" t="n">
        <v>45652</v>
      </c>
      <c r="C149" s="11" t="s">
        <v>153</v>
      </c>
      <c r="D149" s="11" t="s">
        <v>112</v>
      </c>
      <c r="E149" s="11" t="s">
        <v>102</v>
      </c>
      <c r="F149" s="11" t="s">
        <v>151</v>
      </c>
      <c r="G149" s="0" t="n">
        <v>2</v>
      </c>
      <c r="H149" s="0" t="n">
        <v>1203.27</v>
      </c>
      <c r="I149" s="11" t="s">
        <v>46</v>
      </c>
      <c r="J149" s="11" t="s">
        <v>85</v>
      </c>
      <c r="K149" s="11" t="s">
        <v>53</v>
      </c>
    </row>
    <row r="150" customFormat="false" ht="15" hidden="false" customHeight="false" outlineLevel="0" collapsed="false">
      <c r="A150" s="0" t="n">
        <v>1082</v>
      </c>
      <c r="B150" s="10" t="n">
        <v>45524</v>
      </c>
      <c r="C150" s="11" t="s">
        <v>238</v>
      </c>
      <c r="D150" s="11" t="s">
        <v>59</v>
      </c>
      <c r="E150" s="11" t="s">
        <v>66</v>
      </c>
      <c r="F150" s="11" t="s">
        <v>78</v>
      </c>
      <c r="G150" s="0" t="n">
        <v>6</v>
      </c>
      <c r="H150" s="0" t="n">
        <v>365.45</v>
      </c>
      <c r="I150" s="11" t="s">
        <v>68</v>
      </c>
      <c r="J150" s="11" t="s">
        <v>79</v>
      </c>
      <c r="K150" s="11" t="s">
        <v>63</v>
      </c>
    </row>
    <row r="151" customFormat="false" ht="15" hidden="false" customHeight="false" outlineLevel="0" collapsed="false">
      <c r="A151" s="0" t="n">
        <v>1188</v>
      </c>
      <c r="B151" s="10" t="n">
        <v>45502</v>
      </c>
      <c r="C151" s="11" t="s">
        <v>177</v>
      </c>
      <c r="D151" s="11" t="s">
        <v>239</v>
      </c>
      <c r="E151" s="11" t="s">
        <v>102</v>
      </c>
      <c r="F151" s="11" t="s">
        <v>121</v>
      </c>
      <c r="G151" s="0" t="n">
        <v>1</v>
      </c>
      <c r="H151" s="0" t="n">
        <v>2123.21</v>
      </c>
      <c r="I151" s="11" t="s">
        <v>52</v>
      </c>
      <c r="J151" s="11" t="s">
        <v>104</v>
      </c>
      <c r="K151" s="11" t="s">
        <v>63</v>
      </c>
    </row>
    <row r="152" customFormat="false" ht="15" hidden="false" customHeight="false" outlineLevel="0" collapsed="false">
      <c r="A152" s="0" t="n">
        <v>1247</v>
      </c>
      <c r="B152" s="10" t="n">
        <v>45598</v>
      </c>
      <c r="C152" s="11" t="s">
        <v>240</v>
      </c>
      <c r="D152" s="11" t="s">
        <v>49</v>
      </c>
      <c r="E152" s="11" t="s">
        <v>83</v>
      </c>
      <c r="F152" s="11" t="s">
        <v>84</v>
      </c>
      <c r="G152" s="0" t="n">
        <v>9</v>
      </c>
      <c r="H152" s="0" t="n">
        <v>1529.71</v>
      </c>
      <c r="I152" s="11" t="s">
        <v>68</v>
      </c>
      <c r="J152" s="11" t="s">
        <v>57</v>
      </c>
      <c r="K152" s="11" t="s">
        <v>86</v>
      </c>
    </row>
    <row r="153" customFormat="false" ht="15" hidden="false" customHeight="false" outlineLevel="0" collapsed="false">
      <c r="A153" s="0" t="n">
        <v>1187</v>
      </c>
      <c r="B153" s="10" t="n">
        <v>45308</v>
      </c>
      <c r="C153" s="11" t="s">
        <v>155</v>
      </c>
      <c r="D153" s="11" t="s">
        <v>65</v>
      </c>
      <c r="E153" s="11" t="s">
        <v>50</v>
      </c>
      <c r="F153" s="11" t="s">
        <v>219</v>
      </c>
      <c r="G153" s="0" t="n">
        <v>4</v>
      </c>
      <c r="H153" s="0" t="n">
        <v>76.43</v>
      </c>
      <c r="I153" s="11" t="s">
        <v>39</v>
      </c>
      <c r="J153" s="11" t="s">
        <v>85</v>
      </c>
      <c r="K153" s="11" t="s">
        <v>80</v>
      </c>
    </row>
    <row r="154" customFormat="false" ht="15" hidden="false" customHeight="false" outlineLevel="0" collapsed="false">
      <c r="A154" s="0" t="n">
        <v>1150</v>
      </c>
      <c r="C154" s="0" t="s">
        <v>241</v>
      </c>
      <c r="D154" s="0" t="s">
        <v>59</v>
      </c>
      <c r="E154" s="0" t="s">
        <v>242</v>
      </c>
      <c r="F154" s="0" t="s">
        <v>151</v>
      </c>
      <c r="G154" s="0" t="n">
        <v>4</v>
      </c>
      <c r="H154" s="0" t="n">
        <v>2508.19</v>
      </c>
      <c r="I154" s="0" t="s">
        <v>68</v>
      </c>
      <c r="J154" s="0" t="s">
        <v>79</v>
      </c>
    </row>
    <row r="155" customFormat="false" ht="15" hidden="false" customHeight="false" outlineLevel="0" collapsed="false">
      <c r="A155" s="0" t="n">
        <v>1173</v>
      </c>
      <c r="B155" s="10" t="n">
        <v>45601</v>
      </c>
      <c r="C155" s="11" t="s">
        <v>243</v>
      </c>
      <c r="D155" s="11" t="s">
        <v>82</v>
      </c>
      <c r="E155" s="11" t="s">
        <v>50</v>
      </c>
      <c r="F155" s="11" t="s">
        <v>51</v>
      </c>
      <c r="G155" s="0" t="n">
        <v>1</v>
      </c>
      <c r="H155" s="0" t="n">
        <v>262.04</v>
      </c>
      <c r="I155" s="11" t="s">
        <v>39</v>
      </c>
      <c r="J155" s="11" t="s">
        <v>79</v>
      </c>
      <c r="K155" s="11" t="s">
        <v>74</v>
      </c>
    </row>
    <row r="156" customFormat="false" ht="15" hidden="false" customHeight="false" outlineLevel="0" collapsed="false">
      <c r="A156" s="0" t="n">
        <v>1054</v>
      </c>
      <c r="B156" s="10" t="n">
        <v>45634</v>
      </c>
      <c r="C156" s="11" t="s">
        <v>244</v>
      </c>
      <c r="D156" s="11" t="s">
        <v>43</v>
      </c>
      <c r="E156" s="11" t="s">
        <v>102</v>
      </c>
      <c r="F156" s="11" t="s">
        <v>144</v>
      </c>
      <c r="G156" s="0" t="n">
        <v>8</v>
      </c>
      <c r="H156" s="0" t="n">
        <v>2760.23</v>
      </c>
      <c r="I156" s="11" t="s">
        <v>46</v>
      </c>
      <c r="J156" s="11" t="s">
        <v>122</v>
      </c>
      <c r="K156" s="11" t="s">
        <v>53</v>
      </c>
    </row>
    <row r="157" customFormat="false" ht="15" hidden="false" customHeight="false" outlineLevel="0" collapsed="false">
      <c r="A157" s="0" t="n">
        <v>1191</v>
      </c>
      <c r="B157" s="10" t="n">
        <v>45432</v>
      </c>
      <c r="C157" s="11" t="s">
        <v>230</v>
      </c>
      <c r="D157" s="11" t="s">
        <v>49</v>
      </c>
      <c r="E157" s="11" t="s">
        <v>60</v>
      </c>
      <c r="F157" s="11" t="s">
        <v>95</v>
      </c>
      <c r="G157" s="0" t="n">
        <v>7</v>
      </c>
      <c r="H157" s="0" t="n">
        <v>2458.76</v>
      </c>
      <c r="I157" s="11" t="s">
        <v>52</v>
      </c>
      <c r="J157" s="11" t="s">
        <v>89</v>
      </c>
      <c r="K157" s="11" t="s">
        <v>53</v>
      </c>
    </row>
    <row r="158" customFormat="false" ht="15" hidden="false" customHeight="false" outlineLevel="0" collapsed="false">
      <c r="A158" s="0" t="n">
        <v>1229</v>
      </c>
      <c r="B158" s="10" t="n">
        <v>45561</v>
      </c>
      <c r="C158" s="11" t="s">
        <v>245</v>
      </c>
      <c r="D158" s="11" t="s">
        <v>112</v>
      </c>
      <c r="E158" s="11" t="s">
        <v>37</v>
      </c>
      <c r="F158" s="11" t="s">
        <v>167</v>
      </c>
      <c r="G158" s="0" t="n">
        <v>5</v>
      </c>
      <c r="H158" s="0" t="n">
        <v>2388.91</v>
      </c>
      <c r="I158" s="11" t="s">
        <v>46</v>
      </c>
      <c r="J158" s="11" t="s">
        <v>85</v>
      </c>
      <c r="K158" s="11" t="s">
        <v>74</v>
      </c>
    </row>
    <row r="159" customFormat="false" ht="15" hidden="false" customHeight="false" outlineLevel="0" collapsed="false">
      <c r="A159" s="0" t="n">
        <v>1192</v>
      </c>
      <c r="B159" s="10" t="n">
        <v>45469</v>
      </c>
      <c r="C159" s="11" t="s">
        <v>192</v>
      </c>
      <c r="D159" s="11" t="s">
        <v>59</v>
      </c>
      <c r="E159" s="11" t="s">
        <v>60</v>
      </c>
      <c r="F159" s="11" t="s">
        <v>106</v>
      </c>
      <c r="G159" s="0" t="n">
        <v>8</v>
      </c>
      <c r="H159" s="0" t="n">
        <v>657.68</v>
      </c>
      <c r="I159" s="11" t="s">
        <v>39</v>
      </c>
      <c r="J159" s="11" t="s">
        <v>104</v>
      </c>
      <c r="K159" s="11" t="s">
        <v>80</v>
      </c>
    </row>
    <row r="160" customFormat="false" ht="15" hidden="false" customHeight="false" outlineLevel="0" collapsed="false">
      <c r="A160" s="0" t="n">
        <v>1287</v>
      </c>
      <c r="B160" s="10" t="n">
        <v>45559</v>
      </c>
      <c r="C160" s="11" t="s">
        <v>177</v>
      </c>
      <c r="D160" s="11" t="s">
        <v>59</v>
      </c>
      <c r="E160" s="11" t="s">
        <v>102</v>
      </c>
      <c r="F160" s="11" t="s">
        <v>144</v>
      </c>
      <c r="G160" s="0" t="n">
        <v>3</v>
      </c>
      <c r="H160" s="0" t="n">
        <v>1128.17</v>
      </c>
      <c r="I160" s="11" t="s">
        <v>39</v>
      </c>
      <c r="J160" s="11" t="s">
        <v>69</v>
      </c>
      <c r="K160" s="11" t="s">
        <v>53</v>
      </c>
    </row>
    <row r="161" customFormat="false" ht="15" hidden="false" customHeight="false" outlineLevel="0" collapsed="false">
      <c r="A161" s="0" t="n">
        <v>1088</v>
      </c>
      <c r="B161" s="10" t="n">
        <v>45539</v>
      </c>
      <c r="C161" s="11" t="s">
        <v>86</v>
      </c>
      <c r="D161" s="11" t="s">
        <v>49</v>
      </c>
      <c r="E161" s="11" t="s">
        <v>102</v>
      </c>
      <c r="F161" s="11" t="s">
        <v>151</v>
      </c>
      <c r="G161" s="0" t="n">
        <v>8</v>
      </c>
      <c r="H161" s="0" t="n">
        <v>2799.9</v>
      </c>
      <c r="I161" s="11" t="s">
        <v>52</v>
      </c>
      <c r="J161" s="11" t="s">
        <v>40</v>
      </c>
      <c r="K161" s="11" t="s">
        <v>74</v>
      </c>
    </row>
    <row r="162" customFormat="false" ht="15" hidden="false" customHeight="false" outlineLevel="0" collapsed="false">
      <c r="A162" s="0" t="n">
        <v>1218</v>
      </c>
      <c r="B162" s="0" t="s">
        <v>131</v>
      </c>
      <c r="C162" s="0" t="s">
        <v>246</v>
      </c>
      <c r="D162" s="0" t="s">
        <v>112</v>
      </c>
      <c r="E162" s="0" t="s">
        <v>60</v>
      </c>
      <c r="F162" s="0" t="s">
        <v>91</v>
      </c>
      <c r="G162" s="0" t="n">
        <v>2</v>
      </c>
      <c r="I162" s="0" t="s">
        <v>52</v>
      </c>
      <c r="J162" s="0" t="s">
        <v>40</v>
      </c>
      <c r="K162" s="0" t="s">
        <v>47</v>
      </c>
    </row>
    <row r="163" customFormat="false" ht="15" hidden="false" customHeight="false" outlineLevel="0" collapsed="false">
      <c r="A163" s="0" t="n">
        <v>1120</v>
      </c>
      <c r="B163" s="10" t="n">
        <v>45472</v>
      </c>
      <c r="C163" s="11" t="s">
        <v>35</v>
      </c>
      <c r="D163" s="11" t="s">
        <v>36</v>
      </c>
      <c r="E163" s="11" t="s">
        <v>66</v>
      </c>
      <c r="F163" s="11" t="s">
        <v>55</v>
      </c>
      <c r="G163" s="0" t="n">
        <v>3</v>
      </c>
      <c r="H163" s="0" t="n">
        <v>1977.07</v>
      </c>
      <c r="I163" s="11" t="s">
        <v>52</v>
      </c>
      <c r="J163" s="11" t="s">
        <v>115</v>
      </c>
      <c r="K163" s="11" t="s">
        <v>86</v>
      </c>
    </row>
    <row r="164" customFormat="false" ht="15" hidden="false" customHeight="false" outlineLevel="0" collapsed="false">
      <c r="A164" s="0" t="n">
        <v>1006</v>
      </c>
      <c r="B164" s="10" t="n">
        <v>45411</v>
      </c>
      <c r="C164" s="11" t="s">
        <v>247</v>
      </c>
      <c r="D164" s="11" t="s">
        <v>59</v>
      </c>
      <c r="E164" s="11" t="s">
        <v>60</v>
      </c>
      <c r="F164" s="11" t="s">
        <v>106</v>
      </c>
      <c r="G164" s="0" t="n">
        <v>8</v>
      </c>
      <c r="H164" s="0" t="n">
        <v>1914.34</v>
      </c>
      <c r="I164" s="11" t="s">
        <v>39</v>
      </c>
      <c r="J164" s="11" t="s">
        <v>115</v>
      </c>
      <c r="K164" s="11" t="s">
        <v>86</v>
      </c>
    </row>
    <row r="165" customFormat="false" ht="15" hidden="false" customHeight="false" outlineLevel="0" collapsed="false">
      <c r="A165" s="0" t="n">
        <v>1142</v>
      </c>
      <c r="B165" s="10" t="n">
        <v>45362</v>
      </c>
      <c r="C165" s="11" t="s">
        <v>248</v>
      </c>
      <c r="D165" s="11" t="s">
        <v>59</v>
      </c>
      <c r="E165" s="11" t="s">
        <v>37</v>
      </c>
      <c r="F165" s="11" t="s">
        <v>159</v>
      </c>
      <c r="G165" s="0" t="n">
        <v>2</v>
      </c>
      <c r="H165" s="0" t="n">
        <v>1532.92</v>
      </c>
      <c r="I165" s="11" t="s">
        <v>46</v>
      </c>
      <c r="J165" s="11" t="s">
        <v>85</v>
      </c>
      <c r="K165" s="11" t="s">
        <v>80</v>
      </c>
    </row>
    <row r="166" customFormat="false" ht="15" hidden="false" customHeight="false" outlineLevel="0" collapsed="false">
      <c r="A166" s="0" t="n">
        <v>1023</v>
      </c>
      <c r="B166" s="10" t="n">
        <v>45540</v>
      </c>
      <c r="C166" s="11" t="s">
        <v>249</v>
      </c>
      <c r="D166" s="11" t="s">
        <v>49</v>
      </c>
      <c r="E166" s="11" t="s">
        <v>37</v>
      </c>
      <c r="F166" s="11" t="s">
        <v>38</v>
      </c>
      <c r="G166" s="0" t="n">
        <v>1</v>
      </c>
      <c r="H166" s="0" t="n">
        <v>510.62</v>
      </c>
      <c r="I166" s="11" t="s">
        <v>46</v>
      </c>
      <c r="J166" s="11" t="s">
        <v>76</v>
      </c>
      <c r="K166" s="11" t="s">
        <v>47</v>
      </c>
    </row>
    <row r="167" customFormat="false" ht="15" hidden="false" customHeight="false" outlineLevel="0" collapsed="false">
      <c r="A167" s="0" t="n">
        <v>1252</v>
      </c>
      <c r="B167" s="10" t="n">
        <v>45516</v>
      </c>
      <c r="C167" s="11" t="s">
        <v>250</v>
      </c>
      <c r="D167" s="11" t="s">
        <v>65</v>
      </c>
      <c r="E167" s="11" t="s">
        <v>102</v>
      </c>
      <c r="F167" s="11" t="s">
        <v>103</v>
      </c>
      <c r="G167" s="0" t="n">
        <v>0</v>
      </c>
      <c r="H167" s="0" t="n">
        <v>153.16</v>
      </c>
      <c r="I167" s="11" t="s">
        <v>46</v>
      </c>
      <c r="J167" s="11" t="s">
        <v>79</v>
      </c>
      <c r="K167" s="11" t="s">
        <v>86</v>
      </c>
    </row>
    <row r="168" customFormat="false" ht="15" hidden="false" customHeight="false" outlineLevel="0" collapsed="false">
      <c r="A168" s="0" t="n">
        <v>1156</v>
      </c>
      <c r="B168" s="10" t="n">
        <v>45395</v>
      </c>
      <c r="C168" s="11" t="s">
        <v>251</v>
      </c>
      <c r="D168" s="11" t="s">
        <v>36</v>
      </c>
      <c r="E168" s="11" t="s">
        <v>83</v>
      </c>
      <c r="F168" s="11" t="s">
        <v>164</v>
      </c>
      <c r="G168" s="0" t="n">
        <v>1</v>
      </c>
      <c r="H168" s="0" t="n">
        <v>960.48</v>
      </c>
      <c r="I168" s="11" t="s">
        <v>39</v>
      </c>
      <c r="J168" s="11" t="s">
        <v>104</v>
      </c>
      <c r="K168" s="11" t="s">
        <v>63</v>
      </c>
    </row>
    <row r="169" customFormat="false" ht="15" hidden="false" customHeight="false" outlineLevel="0" collapsed="false">
      <c r="A169" s="0" t="n">
        <v>1290</v>
      </c>
      <c r="B169" s="10" t="n">
        <v>45417</v>
      </c>
      <c r="C169" s="11" t="s">
        <v>252</v>
      </c>
      <c r="D169" s="11" t="s">
        <v>112</v>
      </c>
      <c r="E169" s="11" t="s">
        <v>83</v>
      </c>
      <c r="F169" s="11" t="s">
        <v>146</v>
      </c>
      <c r="G169" s="0" t="n">
        <v>7</v>
      </c>
      <c r="H169" s="0" t="n">
        <v>2762.28</v>
      </c>
      <c r="I169" s="11" t="s">
        <v>52</v>
      </c>
      <c r="J169" s="11" t="s">
        <v>57</v>
      </c>
      <c r="K169" s="11" t="s">
        <v>74</v>
      </c>
    </row>
    <row r="170" customFormat="false" ht="15" hidden="false" customHeight="false" outlineLevel="0" collapsed="false">
      <c r="A170" s="0" t="n">
        <v>1035</v>
      </c>
      <c r="B170" s="10" t="n">
        <v>45382</v>
      </c>
      <c r="C170" s="11" t="s">
        <v>130</v>
      </c>
      <c r="D170" s="11" t="s">
        <v>43</v>
      </c>
      <c r="E170" s="11" t="s">
        <v>37</v>
      </c>
      <c r="F170" s="11" t="s">
        <v>159</v>
      </c>
      <c r="G170" s="0" t="n">
        <v>6</v>
      </c>
      <c r="I170" s="11" t="s">
        <v>68</v>
      </c>
      <c r="J170" s="11" t="s">
        <v>79</v>
      </c>
      <c r="K170" s="11" t="s">
        <v>47</v>
      </c>
    </row>
    <row r="171" customFormat="false" ht="15" hidden="false" customHeight="false" outlineLevel="0" collapsed="false">
      <c r="A171" s="0" t="n">
        <v>1215</v>
      </c>
      <c r="B171" s="10" t="n">
        <v>45577</v>
      </c>
      <c r="D171" s="11" t="s">
        <v>43</v>
      </c>
      <c r="E171" s="11" t="s">
        <v>60</v>
      </c>
      <c r="F171" s="11" t="s">
        <v>106</v>
      </c>
      <c r="G171" s="0" t="n">
        <v>-7</v>
      </c>
      <c r="H171" s="0" t="n">
        <v>1676.43</v>
      </c>
      <c r="I171" s="11" t="s">
        <v>46</v>
      </c>
      <c r="J171" s="11" t="s">
        <v>76</v>
      </c>
      <c r="K171" s="11" t="s">
        <v>74</v>
      </c>
    </row>
    <row r="172" customFormat="false" ht="15" hidden="false" customHeight="false" outlineLevel="0" collapsed="false">
      <c r="A172" s="0" t="n">
        <v>1066</v>
      </c>
      <c r="B172" s="10" t="n">
        <v>45542</v>
      </c>
      <c r="C172" s="11" t="s">
        <v>190</v>
      </c>
      <c r="D172" s="11" t="s">
        <v>36</v>
      </c>
      <c r="E172" s="11" t="s">
        <v>50</v>
      </c>
      <c r="F172" s="11" t="s">
        <v>150</v>
      </c>
      <c r="G172" s="0" t="n">
        <v>8</v>
      </c>
      <c r="H172" s="0" t="n">
        <v>1944.79</v>
      </c>
      <c r="I172" s="11" t="s">
        <v>68</v>
      </c>
      <c r="J172" s="11" t="s">
        <v>73</v>
      </c>
      <c r="K172" s="11" t="s">
        <v>53</v>
      </c>
    </row>
    <row r="173" customFormat="false" ht="15" hidden="false" customHeight="false" outlineLevel="0" collapsed="false">
      <c r="A173" s="0" t="n">
        <v>1270</v>
      </c>
      <c r="B173" s="10" t="n">
        <v>45526</v>
      </c>
      <c r="C173" s="11" t="s">
        <v>48</v>
      </c>
      <c r="D173" s="11" t="s">
        <v>65</v>
      </c>
      <c r="E173" s="11" t="s">
        <v>50</v>
      </c>
      <c r="F173" s="11" t="s">
        <v>72</v>
      </c>
      <c r="G173" s="0" t="n">
        <v>9</v>
      </c>
      <c r="H173" s="0" t="n">
        <v>1205.19</v>
      </c>
      <c r="I173" s="11" t="s">
        <v>68</v>
      </c>
      <c r="J173" s="11" t="s">
        <v>115</v>
      </c>
      <c r="K173" s="11" t="s">
        <v>63</v>
      </c>
    </row>
    <row r="174" customFormat="false" ht="15" hidden="false" customHeight="false" outlineLevel="0" collapsed="false">
      <c r="A174" s="0" t="n">
        <v>1010</v>
      </c>
      <c r="B174" s="10" t="n">
        <v>45418</v>
      </c>
      <c r="C174" s="11" t="s">
        <v>253</v>
      </c>
      <c r="D174" s="11" t="s">
        <v>59</v>
      </c>
      <c r="E174" s="11" t="s">
        <v>60</v>
      </c>
      <c r="F174" s="11" t="s">
        <v>91</v>
      </c>
      <c r="H174" s="0" t="n">
        <v>1296.73</v>
      </c>
      <c r="I174" s="11" t="s">
        <v>254</v>
      </c>
      <c r="J174" s="11" t="s">
        <v>76</v>
      </c>
      <c r="K174" s="11" t="s">
        <v>58</v>
      </c>
    </row>
    <row r="175" customFormat="false" ht="15" hidden="false" customHeight="false" outlineLevel="0" collapsed="false">
      <c r="A175" s="0" t="n">
        <v>1036</v>
      </c>
      <c r="B175" s="10" t="n">
        <v>45487</v>
      </c>
      <c r="C175" s="11" t="s">
        <v>255</v>
      </c>
      <c r="D175" s="11" t="s">
        <v>77</v>
      </c>
      <c r="E175" s="11" t="s">
        <v>37</v>
      </c>
      <c r="F175" s="11" t="s">
        <v>108</v>
      </c>
      <c r="G175" s="0" t="n">
        <v>4</v>
      </c>
      <c r="H175" s="0" t="n">
        <v>614.73</v>
      </c>
      <c r="I175" s="11" t="s">
        <v>68</v>
      </c>
      <c r="J175" s="11" t="s">
        <v>85</v>
      </c>
      <c r="K175" s="11" t="s">
        <v>47</v>
      </c>
    </row>
    <row r="176" customFormat="false" ht="15" hidden="false" customHeight="false" outlineLevel="0" collapsed="false">
      <c r="A176" s="0" t="n">
        <v>1237</v>
      </c>
      <c r="B176" s="10" t="n">
        <v>45370</v>
      </c>
      <c r="C176" s="11" t="s">
        <v>244</v>
      </c>
      <c r="D176" s="11" t="s">
        <v>256</v>
      </c>
      <c r="E176" s="11" t="s">
        <v>83</v>
      </c>
      <c r="F176" s="11" t="s">
        <v>164</v>
      </c>
      <c r="G176" s="0" t="n">
        <v>0</v>
      </c>
      <c r="H176" s="0" t="n">
        <v>963.7</v>
      </c>
      <c r="I176" s="11" t="s">
        <v>46</v>
      </c>
      <c r="J176" s="11" t="s">
        <v>40</v>
      </c>
      <c r="K176" s="11" t="s">
        <v>53</v>
      </c>
    </row>
    <row r="177" customFormat="false" ht="15" hidden="false" customHeight="false" outlineLevel="0" collapsed="false">
      <c r="A177" s="0" t="n">
        <v>1293</v>
      </c>
      <c r="B177" s="10" t="n">
        <v>45296</v>
      </c>
      <c r="C177" s="11" t="s">
        <v>257</v>
      </c>
      <c r="D177" s="11" t="s">
        <v>59</v>
      </c>
      <c r="E177" s="11" t="s">
        <v>66</v>
      </c>
      <c r="F177" s="11" t="s">
        <v>45</v>
      </c>
      <c r="G177" s="0" t="n">
        <v>10</v>
      </c>
      <c r="H177" s="0" t="n">
        <v>2357.83</v>
      </c>
      <c r="I177" s="11" t="s">
        <v>52</v>
      </c>
      <c r="J177" s="11" t="s">
        <v>89</v>
      </c>
      <c r="K177" s="11" t="s">
        <v>86</v>
      </c>
    </row>
    <row r="178" customFormat="false" ht="15" hidden="false" customHeight="false" outlineLevel="0" collapsed="false">
      <c r="A178" s="0" t="n">
        <v>1068</v>
      </c>
      <c r="B178" s="10" t="n">
        <v>45461</v>
      </c>
      <c r="C178" s="11" t="s">
        <v>258</v>
      </c>
      <c r="D178" s="11" t="s">
        <v>77</v>
      </c>
      <c r="E178" s="11" t="s">
        <v>102</v>
      </c>
      <c r="F178" s="11" t="s">
        <v>151</v>
      </c>
      <c r="G178" s="0" t="n">
        <v>5</v>
      </c>
      <c r="H178" s="0" t="n">
        <v>933.74</v>
      </c>
      <c r="I178" s="11" t="s">
        <v>52</v>
      </c>
      <c r="J178" s="11" t="s">
        <v>79</v>
      </c>
      <c r="K178" s="11" t="s">
        <v>58</v>
      </c>
    </row>
    <row r="179" customFormat="false" ht="15" hidden="false" customHeight="false" outlineLevel="0" collapsed="false">
      <c r="A179" s="0" t="n">
        <v>1278</v>
      </c>
      <c r="B179" s="10" t="n">
        <v>45502</v>
      </c>
      <c r="C179" s="11" t="s">
        <v>139</v>
      </c>
      <c r="D179" s="11" t="s">
        <v>77</v>
      </c>
      <c r="E179" s="11" t="s">
        <v>50</v>
      </c>
      <c r="F179" s="11" t="s">
        <v>219</v>
      </c>
      <c r="G179" s="0" t="n">
        <v>4</v>
      </c>
      <c r="H179" s="0" t="n">
        <v>278.33</v>
      </c>
      <c r="I179" s="11" t="s">
        <v>46</v>
      </c>
      <c r="J179" s="11" t="s">
        <v>57</v>
      </c>
      <c r="K179" s="11" t="s">
        <v>41</v>
      </c>
    </row>
    <row r="180" customFormat="false" ht="15" hidden="false" customHeight="false" outlineLevel="0" collapsed="false">
      <c r="A180" s="0" t="n">
        <v>1186</v>
      </c>
      <c r="B180" s="10" t="n">
        <v>45597</v>
      </c>
      <c r="C180" s="11" t="s">
        <v>116</v>
      </c>
      <c r="D180" s="11" t="s">
        <v>36</v>
      </c>
      <c r="E180" s="11" t="s">
        <v>50</v>
      </c>
      <c r="F180" s="11" t="s">
        <v>72</v>
      </c>
      <c r="G180" s="0" t="n">
        <v>0</v>
      </c>
      <c r="H180" s="0" t="n">
        <v>1758.9</v>
      </c>
      <c r="I180" s="11" t="s">
        <v>259</v>
      </c>
      <c r="J180" s="11" t="s">
        <v>73</v>
      </c>
      <c r="K180" s="11" t="s">
        <v>80</v>
      </c>
    </row>
    <row r="181" customFormat="false" ht="15" hidden="false" customHeight="false" outlineLevel="0" collapsed="false">
      <c r="A181" s="0" t="n">
        <v>1177</v>
      </c>
      <c r="B181" s="10" t="n">
        <v>45522</v>
      </c>
      <c r="C181" s="11" t="s">
        <v>170</v>
      </c>
      <c r="D181" s="11" t="s">
        <v>65</v>
      </c>
      <c r="F181" s="11" t="s">
        <v>164</v>
      </c>
      <c r="G181" s="0" t="n">
        <v>1</v>
      </c>
      <c r="H181" s="0" t="n">
        <v>884.83</v>
      </c>
      <c r="I181" s="11" t="s">
        <v>68</v>
      </c>
      <c r="J181" s="11" t="s">
        <v>85</v>
      </c>
      <c r="K181" s="11" t="s">
        <v>58</v>
      </c>
    </row>
    <row r="182" customFormat="false" ht="15" hidden="false" customHeight="false" outlineLevel="0" collapsed="false">
      <c r="A182" s="0" t="n">
        <v>1009</v>
      </c>
      <c r="B182" s="10" t="n">
        <v>45400</v>
      </c>
      <c r="C182" s="11" t="s">
        <v>155</v>
      </c>
      <c r="D182" s="11" t="s">
        <v>112</v>
      </c>
      <c r="E182" s="11" t="s">
        <v>60</v>
      </c>
      <c r="F182" s="11" t="s">
        <v>106</v>
      </c>
      <c r="G182" s="0" t="n">
        <v>4</v>
      </c>
      <c r="H182" s="0" t="n">
        <v>1973.21</v>
      </c>
      <c r="I182" s="11" t="s">
        <v>68</v>
      </c>
      <c r="J182" s="11" t="s">
        <v>85</v>
      </c>
      <c r="K182" s="11" t="s">
        <v>80</v>
      </c>
    </row>
    <row r="183" customFormat="false" ht="15" hidden="false" customHeight="false" outlineLevel="0" collapsed="false">
      <c r="A183" s="0" t="n">
        <v>1135</v>
      </c>
      <c r="B183" s="0" t="s">
        <v>183</v>
      </c>
      <c r="C183" s="0" t="s">
        <v>260</v>
      </c>
      <c r="D183" s="0" t="s">
        <v>59</v>
      </c>
      <c r="E183" s="0" t="s">
        <v>102</v>
      </c>
      <c r="F183" s="0" t="s">
        <v>110</v>
      </c>
      <c r="G183" s="0" t="n">
        <v>2</v>
      </c>
      <c r="H183" s="0" t="n">
        <v>1941.11</v>
      </c>
      <c r="I183" s="0" t="s">
        <v>261</v>
      </c>
      <c r="J183" s="0" t="s">
        <v>76</v>
      </c>
      <c r="K183" s="0" t="s">
        <v>63</v>
      </c>
    </row>
    <row r="184" customFormat="false" ht="15" hidden="false" customHeight="false" outlineLevel="0" collapsed="false">
      <c r="A184" s="0" t="n">
        <v>1013</v>
      </c>
      <c r="B184" s="10" t="n">
        <v>45349</v>
      </c>
      <c r="C184" s="11" t="s">
        <v>262</v>
      </c>
      <c r="D184" s="11" t="s">
        <v>43</v>
      </c>
      <c r="E184" s="11" t="s">
        <v>50</v>
      </c>
      <c r="F184" s="11" t="s">
        <v>99</v>
      </c>
      <c r="G184" s="0" t="n">
        <v>8</v>
      </c>
      <c r="H184" s="0" t="n">
        <v>29.67</v>
      </c>
      <c r="I184" s="11" t="s">
        <v>39</v>
      </c>
      <c r="J184" s="11" t="s">
        <v>40</v>
      </c>
      <c r="K184" s="11" t="s">
        <v>41</v>
      </c>
    </row>
    <row r="185" customFormat="false" ht="15" hidden="false" customHeight="false" outlineLevel="0" collapsed="false">
      <c r="A185" s="0" t="n">
        <v>1121</v>
      </c>
      <c r="B185" s="10" t="n">
        <v>45350</v>
      </c>
      <c r="C185" s="11" t="s">
        <v>113</v>
      </c>
      <c r="D185" s="11" t="s">
        <v>36</v>
      </c>
      <c r="E185" s="11" t="s">
        <v>66</v>
      </c>
      <c r="F185" s="11" t="s">
        <v>55</v>
      </c>
      <c r="H185" s="11" t="s">
        <v>263</v>
      </c>
      <c r="I185" s="11" t="s">
        <v>210</v>
      </c>
      <c r="J185" s="11" t="s">
        <v>73</v>
      </c>
      <c r="K185" s="11" t="s">
        <v>53</v>
      </c>
    </row>
    <row r="186" customFormat="false" ht="15" hidden="false" customHeight="false" outlineLevel="0" collapsed="false">
      <c r="A186" s="0" t="n">
        <v>1034</v>
      </c>
      <c r="B186" s="10" t="n">
        <v>45478</v>
      </c>
      <c r="C186" s="11" t="s">
        <v>260</v>
      </c>
      <c r="D186" s="11" t="s">
        <v>36</v>
      </c>
      <c r="E186" s="11" t="s">
        <v>83</v>
      </c>
      <c r="F186" s="11" t="s">
        <v>164</v>
      </c>
      <c r="G186" s="0" t="n">
        <v>4</v>
      </c>
      <c r="H186" s="0" t="n">
        <v>2007.46</v>
      </c>
      <c r="I186" s="11" t="s">
        <v>39</v>
      </c>
      <c r="J186" s="11" t="s">
        <v>85</v>
      </c>
      <c r="K186" s="11" t="s">
        <v>202</v>
      </c>
    </row>
    <row r="187" customFormat="false" ht="15" hidden="false" customHeight="false" outlineLevel="0" collapsed="false">
      <c r="A187" s="0" t="n">
        <v>1183</v>
      </c>
      <c r="B187" s="10" t="n">
        <v>45552</v>
      </c>
      <c r="C187" s="11" t="s">
        <v>111</v>
      </c>
      <c r="D187" s="11" t="s">
        <v>82</v>
      </c>
      <c r="E187" s="11" t="s">
        <v>264</v>
      </c>
      <c r="F187" s="11" t="s">
        <v>167</v>
      </c>
      <c r="G187" s="0" t="n">
        <v>1</v>
      </c>
      <c r="H187" s="0" t="n">
        <v>135.96</v>
      </c>
      <c r="I187" s="11" t="s">
        <v>39</v>
      </c>
      <c r="J187" s="11" t="s">
        <v>104</v>
      </c>
      <c r="K187" s="11" t="s">
        <v>63</v>
      </c>
    </row>
    <row r="188" customFormat="false" ht="15" hidden="false" customHeight="false" outlineLevel="0" collapsed="false">
      <c r="A188" s="0" t="n">
        <v>1011</v>
      </c>
      <c r="B188" s="10" t="n">
        <v>45544</v>
      </c>
      <c r="C188" s="11" t="s">
        <v>265</v>
      </c>
      <c r="D188" s="11" t="s">
        <v>82</v>
      </c>
      <c r="E188" s="11" t="s">
        <v>37</v>
      </c>
      <c r="F188" s="11" t="s">
        <v>167</v>
      </c>
      <c r="H188" s="0" t="n">
        <v>475.47</v>
      </c>
      <c r="I188" s="11" t="s">
        <v>52</v>
      </c>
      <c r="J188" s="11" t="s">
        <v>89</v>
      </c>
      <c r="K188" s="11" t="s">
        <v>41</v>
      </c>
    </row>
    <row r="189" customFormat="false" ht="15" hidden="false" customHeight="false" outlineLevel="0" collapsed="false">
      <c r="A189" s="0" t="n">
        <v>1111</v>
      </c>
      <c r="B189" s="10" t="n">
        <v>45420</v>
      </c>
      <c r="C189" s="11" t="s">
        <v>266</v>
      </c>
      <c r="D189" s="11" t="s">
        <v>82</v>
      </c>
      <c r="E189" s="11" t="s">
        <v>37</v>
      </c>
      <c r="F189" s="11" t="s">
        <v>167</v>
      </c>
      <c r="G189" s="0" t="n">
        <v>3</v>
      </c>
      <c r="H189" s="0" t="n">
        <v>64.28</v>
      </c>
      <c r="I189" s="11" t="s">
        <v>163</v>
      </c>
      <c r="J189" s="11" t="s">
        <v>85</v>
      </c>
      <c r="K189" s="11" t="s">
        <v>53</v>
      </c>
    </row>
    <row r="190" customFormat="false" ht="15" hidden="false" customHeight="false" outlineLevel="0" collapsed="false">
      <c r="A190" s="0" t="n">
        <v>1243</v>
      </c>
      <c r="B190" s="10" t="n">
        <v>45460</v>
      </c>
      <c r="C190" s="11" t="s">
        <v>250</v>
      </c>
      <c r="D190" s="11" t="s">
        <v>49</v>
      </c>
      <c r="E190" s="11" t="s">
        <v>66</v>
      </c>
      <c r="F190" s="11" t="s">
        <v>45</v>
      </c>
      <c r="G190" s="0" t="n">
        <v>10</v>
      </c>
      <c r="H190" s="0" t="n">
        <v>425.65</v>
      </c>
      <c r="I190" s="11" t="s">
        <v>39</v>
      </c>
      <c r="J190" s="11" t="s">
        <v>57</v>
      </c>
      <c r="K190" s="11" t="s">
        <v>63</v>
      </c>
    </row>
    <row r="191" customFormat="false" ht="15" hidden="false" customHeight="false" outlineLevel="0" collapsed="false">
      <c r="A191" s="0" t="n">
        <v>1002</v>
      </c>
      <c r="B191" s="10" t="n">
        <v>45403</v>
      </c>
      <c r="C191" s="11" t="s">
        <v>153</v>
      </c>
      <c r="D191" s="11" t="s">
        <v>82</v>
      </c>
      <c r="E191" s="11" t="s">
        <v>206</v>
      </c>
      <c r="F191" s="11" t="s">
        <v>146</v>
      </c>
      <c r="G191" s="0" t="n">
        <v>9</v>
      </c>
      <c r="H191" s="11" t="s">
        <v>267</v>
      </c>
      <c r="I191" s="11" t="s">
        <v>68</v>
      </c>
      <c r="J191" s="11" t="s">
        <v>79</v>
      </c>
      <c r="K191" s="11" t="s">
        <v>63</v>
      </c>
    </row>
    <row r="192" customFormat="false" ht="15" hidden="false" customHeight="false" outlineLevel="0" collapsed="false">
      <c r="A192" s="0" t="n">
        <v>1280</v>
      </c>
      <c r="B192" s="10" t="n">
        <v>45629</v>
      </c>
      <c r="C192" s="11" t="s">
        <v>142</v>
      </c>
      <c r="D192" s="11" t="s">
        <v>36</v>
      </c>
      <c r="E192" s="11" t="s">
        <v>50</v>
      </c>
      <c r="F192" s="11" t="s">
        <v>72</v>
      </c>
      <c r="G192" s="0" t="n">
        <v>7</v>
      </c>
      <c r="H192" s="0" t="n">
        <v>900.72</v>
      </c>
      <c r="I192" s="11" t="s">
        <v>46</v>
      </c>
      <c r="J192" s="11" t="s">
        <v>62</v>
      </c>
      <c r="K192" s="11" t="s">
        <v>63</v>
      </c>
    </row>
    <row r="193" customFormat="false" ht="15" hidden="false" customHeight="false" outlineLevel="0" collapsed="false">
      <c r="A193" s="0" t="n">
        <v>1099</v>
      </c>
      <c r="B193" s="10" t="n">
        <v>45602</v>
      </c>
      <c r="C193" s="11" t="s">
        <v>268</v>
      </c>
      <c r="D193" s="11" t="s">
        <v>59</v>
      </c>
      <c r="E193" s="11" t="s">
        <v>66</v>
      </c>
      <c r="F193" s="11" t="s">
        <v>78</v>
      </c>
      <c r="G193" s="0" t="n">
        <v>4</v>
      </c>
      <c r="H193" s="0" t="n">
        <v>1829.05</v>
      </c>
      <c r="I193" s="11" t="s">
        <v>75</v>
      </c>
      <c r="J193" s="11" t="s">
        <v>40</v>
      </c>
      <c r="K193" s="11" t="s">
        <v>58</v>
      </c>
    </row>
    <row r="194" customFormat="false" ht="15" hidden="false" customHeight="false" outlineLevel="0" collapsed="false">
      <c r="A194" s="0" t="n">
        <v>1276</v>
      </c>
      <c r="B194" s="10" t="n">
        <v>45488</v>
      </c>
      <c r="C194" s="11" t="s">
        <v>269</v>
      </c>
      <c r="D194" s="11" t="s">
        <v>65</v>
      </c>
      <c r="E194" s="11" t="s">
        <v>83</v>
      </c>
      <c r="F194" s="11" t="s">
        <v>129</v>
      </c>
      <c r="G194" s="0" t="n">
        <v>2</v>
      </c>
      <c r="H194" s="0" t="n">
        <v>953.79</v>
      </c>
      <c r="I194" s="11" t="s">
        <v>39</v>
      </c>
      <c r="J194" s="11" t="s">
        <v>57</v>
      </c>
      <c r="K194" s="11" t="s">
        <v>74</v>
      </c>
    </row>
    <row r="195" customFormat="false" ht="15" hidden="false" customHeight="false" outlineLevel="0" collapsed="false">
      <c r="A195" s="0" t="n">
        <v>1236</v>
      </c>
      <c r="B195" s="10" t="n">
        <v>45484</v>
      </c>
      <c r="C195" s="11" t="s">
        <v>134</v>
      </c>
      <c r="D195" s="11" t="s">
        <v>49</v>
      </c>
      <c r="E195" s="11" t="s">
        <v>60</v>
      </c>
      <c r="F195" s="11" t="s">
        <v>95</v>
      </c>
      <c r="G195" s="0" t="n">
        <v>2</v>
      </c>
      <c r="H195" s="0" t="n">
        <v>2321.06</v>
      </c>
      <c r="I195" s="11" t="s">
        <v>39</v>
      </c>
      <c r="J195" s="11" t="s">
        <v>62</v>
      </c>
      <c r="K195" s="11" t="s">
        <v>41</v>
      </c>
    </row>
    <row r="196" customFormat="false" ht="15" hidden="false" customHeight="false" outlineLevel="0" collapsed="false">
      <c r="A196" s="0" t="n">
        <v>1243</v>
      </c>
      <c r="B196" s="10" t="n">
        <v>45460</v>
      </c>
      <c r="C196" s="11" t="s">
        <v>250</v>
      </c>
      <c r="E196" s="11" t="s">
        <v>66</v>
      </c>
      <c r="F196" s="11" t="s">
        <v>45</v>
      </c>
      <c r="G196" s="0" t="n">
        <v>10</v>
      </c>
      <c r="H196" s="0" t="n">
        <v>425.65</v>
      </c>
      <c r="I196" s="11" t="s">
        <v>39</v>
      </c>
      <c r="J196" s="11" t="s">
        <v>57</v>
      </c>
      <c r="K196" s="11" t="s">
        <v>63</v>
      </c>
    </row>
    <row r="197" customFormat="false" ht="15" hidden="false" customHeight="false" outlineLevel="0" collapsed="false">
      <c r="A197" s="0" t="n">
        <v>1062</v>
      </c>
      <c r="B197" s="10" t="n">
        <v>45654</v>
      </c>
      <c r="C197" s="11" t="s">
        <v>270</v>
      </c>
      <c r="D197" s="11" t="s">
        <v>43</v>
      </c>
      <c r="E197" s="11" t="s">
        <v>60</v>
      </c>
      <c r="F197" s="11" t="s">
        <v>117</v>
      </c>
      <c r="G197" s="0" t="n">
        <v>9</v>
      </c>
      <c r="H197" s="0" t="n">
        <v>2897.11</v>
      </c>
      <c r="I197" s="11" t="s">
        <v>39</v>
      </c>
      <c r="J197" s="11" t="s">
        <v>76</v>
      </c>
      <c r="K197" s="11" t="s">
        <v>63</v>
      </c>
    </row>
    <row r="198" customFormat="false" ht="15" hidden="false" customHeight="false" outlineLevel="0" collapsed="false">
      <c r="A198" s="0" t="n">
        <v>1177</v>
      </c>
      <c r="B198" s="10" t="n">
        <v>45522</v>
      </c>
      <c r="C198" s="11" t="s">
        <v>170</v>
      </c>
      <c r="D198" s="11" t="s">
        <v>65</v>
      </c>
      <c r="E198" s="11" t="s">
        <v>83</v>
      </c>
      <c r="F198" s="11" t="s">
        <v>164</v>
      </c>
      <c r="G198" s="0" t="n">
        <v>1</v>
      </c>
      <c r="H198" s="0" t="n">
        <v>884.83</v>
      </c>
      <c r="J198" s="11" t="s">
        <v>76</v>
      </c>
      <c r="K198" s="11" t="s">
        <v>58</v>
      </c>
    </row>
    <row r="199" customFormat="false" ht="15" hidden="false" customHeight="false" outlineLevel="0" collapsed="false">
      <c r="A199" s="0" t="n">
        <v>1205</v>
      </c>
      <c r="B199" s="10" t="n">
        <v>45368</v>
      </c>
      <c r="C199" s="11" t="s">
        <v>271</v>
      </c>
      <c r="D199" s="11" t="s">
        <v>77</v>
      </c>
      <c r="E199" s="11" t="s">
        <v>66</v>
      </c>
      <c r="F199" s="11" t="s">
        <v>67</v>
      </c>
      <c r="G199" s="0" t="n">
        <v>2</v>
      </c>
      <c r="H199" s="0" t="n">
        <v>2047.28</v>
      </c>
      <c r="I199" s="11" t="s">
        <v>68</v>
      </c>
      <c r="J199" s="11" t="s">
        <v>62</v>
      </c>
      <c r="K199" s="11" t="s">
        <v>63</v>
      </c>
    </row>
    <row r="200" customFormat="false" ht="15" hidden="false" customHeight="false" outlineLevel="0" collapsed="false">
      <c r="A200" s="0" t="n">
        <v>1231</v>
      </c>
      <c r="B200" s="10" t="n">
        <v>45651</v>
      </c>
      <c r="C200" s="11" t="s">
        <v>266</v>
      </c>
      <c r="D200" s="11" t="s">
        <v>77</v>
      </c>
      <c r="E200" s="11" t="s">
        <v>83</v>
      </c>
      <c r="F200" s="11" t="s">
        <v>146</v>
      </c>
      <c r="G200" s="0" t="n">
        <v>7</v>
      </c>
      <c r="H200" s="0" t="n">
        <v>1941.82</v>
      </c>
      <c r="I200" s="11" t="s">
        <v>39</v>
      </c>
      <c r="J200" s="11" t="s">
        <v>62</v>
      </c>
      <c r="K200" s="11" t="s">
        <v>53</v>
      </c>
    </row>
    <row r="201" customFormat="false" ht="15" hidden="false" customHeight="false" outlineLevel="0" collapsed="false">
      <c r="A201" s="0" t="n">
        <v>1092</v>
      </c>
      <c r="B201" s="10" t="n">
        <v>45486</v>
      </c>
      <c r="C201" s="11" t="s">
        <v>64</v>
      </c>
      <c r="D201" s="11" t="s">
        <v>77</v>
      </c>
      <c r="E201" s="11" t="s">
        <v>50</v>
      </c>
      <c r="F201" s="11" t="s">
        <v>51</v>
      </c>
      <c r="G201" s="0" t="n">
        <v>9</v>
      </c>
      <c r="H201" s="0" t="n">
        <v>126.98</v>
      </c>
      <c r="I201" s="11" t="s">
        <v>261</v>
      </c>
      <c r="J201" s="11" t="s">
        <v>62</v>
      </c>
      <c r="K201" s="11" t="s">
        <v>47</v>
      </c>
    </row>
    <row r="202" customFormat="false" ht="15" hidden="false" customHeight="false" outlineLevel="0" collapsed="false">
      <c r="A202" s="0" t="n">
        <v>1273</v>
      </c>
      <c r="B202" s="10" t="n">
        <v>45373</v>
      </c>
      <c r="C202" s="11" t="s">
        <v>41</v>
      </c>
      <c r="D202" s="11" t="s">
        <v>112</v>
      </c>
      <c r="E202" s="11" t="s">
        <v>50</v>
      </c>
      <c r="F202" s="11" t="s">
        <v>99</v>
      </c>
      <c r="G202" s="0" t="n">
        <v>5</v>
      </c>
      <c r="H202" s="11" t="s">
        <v>272</v>
      </c>
      <c r="J202" s="11" t="s">
        <v>115</v>
      </c>
      <c r="K202" s="11" t="s">
        <v>74</v>
      </c>
    </row>
    <row r="203" customFormat="false" ht="15" hidden="false" customHeight="false" outlineLevel="0" collapsed="false">
      <c r="A203" s="0" t="n">
        <v>1146</v>
      </c>
      <c r="B203" s="10" t="n">
        <v>45420</v>
      </c>
      <c r="C203" s="11" t="s">
        <v>273</v>
      </c>
      <c r="D203" s="11" t="s">
        <v>77</v>
      </c>
      <c r="E203" s="11" t="s">
        <v>66</v>
      </c>
      <c r="F203" s="11" t="s">
        <v>88</v>
      </c>
      <c r="G203" s="0" t="n">
        <v>6</v>
      </c>
      <c r="H203" s="0" t="n">
        <v>1672.53</v>
      </c>
      <c r="I203" s="11" t="s">
        <v>261</v>
      </c>
      <c r="J203" s="11" t="s">
        <v>62</v>
      </c>
    </row>
    <row r="204" customFormat="false" ht="15" hidden="false" customHeight="false" outlineLevel="0" collapsed="false">
      <c r="A204" s="0" t="n">
        <v>1106</v>
      </c>
      <c r="B204" s="10" t="n">
        <v>45412</v>
      </c>
      <c r="C204" s="11" t="s">
        <v>274</v>
      </c>
      <c r="D204" s="11" t="s">
        <v>49</v>
      </c>
      <c r="E204" s="11" t="s">
        <v>275</v>
      </c>
      <c r="F204" s="11" t="s">
        <v>146</v>
      </c>
      <c r="G204" s="0" t="n">
        <v>8</v>
      </c>
      <c r="H204" s="0" t="n">
        <v>1125.61</v>
      </c>
      <c r="I204" s="11" t="s">
        <v>68</v>
      </c>
      <c r="J204" s="11" t="s">
        <v>79</v>
      </c>
      <c r="K204" s="11" t="s">
        <v>74</v>
      </c>
    </row>
    <row r="205" customFormat="false" ht="15" hidden="false" customHeight="false" outlineLevel="0" collapsed="false">
      <c r="A205" s="0" t="n">
        <v>1133</v>
      </c>
      <c r="B205" s="10" t="n">
        <v>45529</v>
      </c>
      <c r="C205" s="11" t="s">
        <v>276</v>
      </c>
      <c r="D205" s="11" t="s">
        <v>77</v>
      </c>
      <c r="E205" s="11" t="s">
        <v>50</v>
      </c>
      <c r="F205" s="11" t="s">
        <v>150</v>
      </c>
      <c r="G205" s="0" t="n">
        <v>10</v>
      </c>
      <c r="H205" s="0" t="n">
        <v>1936.12</v>
      </c>
      <c r="I205" s="11" t="s">
        <v>39</v>
      </c>
      <c r="J205" s="11" t="s">
        <v>104</v>
      </c>
      <c r="K205" s="11" t="s">
        <v>80</v>
      </c>
    </row>
    <row r="206" customFormat="false" ht="15" hidden="false" customHeight="false" outlineLevel="0" collapsed="false">
      <c r="A206" s="0" t="n">
        <v>1028</v>
      </c>
      <c r="B206" s="10" t="n">
        <v>45635</v>
      </c>
      <c r="C206" s="11" t="s">
        <v>277</v>
      </c>
      <c r="D206" s="11" t="s">
        <v>112</v>
      </c>
      <c r="E206" s="11" t="s">
        <v>102</v>
      </c>
      <c r="F206" s="11" t="s">
        <v>121</v>
      </c>
      <c r="G206" s="0" t="n">
        <v>2</v>
      </c>
      <c r="H206" s="0" t="n">
        <v>47.76</v>
      </c>
      <c r="I206" s="11" t="s">
        <v>46</v>
      </c>
      <c r="J206" s="11" t="s">
        <v>79</v>
      </c>
      <c r="K206" s="11" t="s">
        <v>58</v>
      </c>
    </row>
    <row r="207" customFormat="false" ht="15" hidden="false" customHeight="false" outlineLevel="0" collapsed="false">
      <c r="A207" s="0" t="n">
        <v>1214</v>
      </c>
      <c r="B207" s="10" t="n">
        <v>45636</v>
      </c>
      <c r="C207" s="11" t="s">
        <v>184</v>
      </c>
      <c r="D207" s="11" t="s">
        <v>59</v>
      </c>
      <c r="E207" s="11" t="s">
        <v>278</v>
      </c>
      <c r="F207" s="11" t="s">
        <v>67</v>
      </c>
      <c r="G207" s="0" t="n">
        <v>3</v>
      </c>
      <c r="H207" s="0" t="n">
        <v>2957.37</v>
      </c>
      <c r="I207" s="11" t="s">
        <v>52</v>
      </c>
      <c r="J207" s="11" t="s">
        <v>85</v>
      </c>
      <c r="K207" s="11" t="s">
        <v>47</v>
      </c>
    </row>
    <row r="208" customFormat="false" ht="15" hidden="false" customHeight="false" outlineLevel="0" collapsed="false">
      <c r="A208" s="0" t="n">
        <v>1067</v>
      </c>
      <c r="B208" s="10" t="n">
        <v>45405</v>
      </c>
      <c r="C208" s="11" t="s">
        <v>244</v>
      </c>
      <c r="D208" s="11" t="s">
        <v>36</v>
      </c>
      <c r="E208" s="11" t="s">
        <v>83</v>
      </c>
      <c r="F208" s="11" t="s">
        <v>164</v>
      </c>
      <c r="G208" s="0" t="n">
        <v>5</v>
      </c>
      <c r="H208" s="0" t="n">
        <v>1998.6</v>
      </c>
      <c r="I208" s="11" t="s">
        <v>39</v>
      </c>
      <c r="J208" s="11" t="s">
        <v>73</v>
      </c>
      <c r="K208" s="11" t="s">
        <v>86</v>
      </c>
    </row>
    <row r="209" customFormat="false" ht="15" hidden="false" customHeight="false" outlineLevel="0" collapsed="false">
      <c r="A209" s="0" t="n">
        <v>1213</v>
      </c>
      <c r="B209" s="10" t="n">
        <v>45411</v>
      </c>
      <c r="C209" s="11" t="s">
        <v>279</v>
      </c>
      <c r="D209" s="11" t="s">
        <v>82</v>
      </c>
      <c r="E209" s="11" t="s">
        <v>102</v>
      </c>
      <c r="F209" s="11" t="s">
        <v>110</v>
      </c>
      <c r="G209" s="0" t="n">
        <v>3</v>
      </c>
      <c r="H209" s="0" t="n">
        <v>1521.61</v>
      </c>
      <c r="I209" s="11" t="s">
        <v>39</v>
      </c>
      <c r="J209" s="11" t="s">
        <v>79</v>
      </c>
      <c r="K209" s="11" t="s">
        <v>86</v>
      </c>
    </row>
    <row r="210" customFormat="false" ht="15" hidden="false" customHeight="false" outlineLevel="0" collapsed="false">
      <c r="A210" s="0" t="n">
        <v>1070</v>
      </c>
      <c r="B210" s="10" t="n">
        <v>45476</v>
      </c>
      <c r="C210" s="11" t="s">
        <v>280</v>
      </c>
      <c r="D210" s="11" t="s">
        <v>82</v>
      </c>
      <c r="E210" s="11" t="s">
        <v>60</v>
      </c>
      <c r="F210" s="11" t="s">
        <v>91</v>
      </c>
      <c r="G210" s="0" t="n">
        <v>9</v>
      </c>
      <c r="H210" s="0" t="n">
        <v>397.22</v>
      </c>
      <c r="I210" s="11" t="s">
        <v>46</v>
      </c>
      <c r="J210" s="11" t="s">
        <v>62</v>
      </c>
      <c r="K210" s="11" t="s">
        <v>47</v>
      </c>
    </row>
    <row r="211" customFormat="false" ht="15" hidden="false" customHeight="false" outlineLevel="0" collapsed="false">
      <c r="A211" s="0" t="n">
        <v>1104</v>
      </c>
      <c r="B211" s="10" t="n">
        <v>45347</v>
      </c>
      <c r="C211" s="11" t="s">
        <v>281</v>
      </c>
      <c r="D211" s="11" t="s">
        <v>82</v>
      </c>
      <c r="E211" s="11" t="s">
        <v>282</v>
      </c>
      <c r="F211" s="11" t="s">
        <v>99</v>
      </c>
      <c r="G211" s="0" t="n">
        <v>10</v>
      </c>
      <c r="H211" s="0" t="n">
        <v>2655.02</v>
      </c>
      <c r="I211" s="11" t="s">
        <v>39</v>
      </c>
      <c r="J211" s="11" t="s">
        <v>40</v>
      </c>
      <c r="K211" s="11" t="s">
        <v>41</v>
      </c>
    </row>
    <row r="212" customFormat="false" ht="15" hidden="false" customHeight="false" outlineLevel="0" collapsed="false">
      <c r="A212" s="0" t="n">
        <v>1268</v>
      </c>
      <c r="B212" s="10" t="n">
        <v>45418</v>
      </c>
      <c r="C212" s="11" t="s">
        <v>283</v>
      </c>
      <c r="D212" s="11" t="s">
        <v>43</v>
      </c>
      <c r="E212" s="11" t="s">
        <v>50</v>
      </c>
      <c r="F212" s="11" t="s">
        <v>99</v>
      </c>
      <c r="G212" s="0" t="n">
        <v>10</v>
      </c>
      <c r="H212" s="0" t="n">
        <v>1904.56</v>
      </c>
      <c r="I212" s="11" t="s">
        <v>176</v>
      </c>
      <c r="J212" s="11" t="s">
        <v>76</v>
      </c>
      <c r="K212" s="11" t="s">
        <v>63</v>
      </c>
    </row>
    <row r="213" customFormat="false" ht="15" hidden="false" customHeight="false" outlineLevel="0" collapsed="false">
      <c r="A213" s="0" t="n">
        <v>1113</v>
      </c>
      <c r="B213" s="10" t="n">
        <v>45595</v>
      </c>
      <c r="C213" s="11" t="s">
        <v>284</v>
      </c>
      <c r="D213" s="11" t="s">
        <v>36</v>
      </c>
      <c r="E213" s="11" t="s">
        <v>60</v>
      </c>
      <c r="F213" s="11" t="s">
        <v>95</v>
      </c>
      <c r="G213" s="0" t="n">
        <v>10</v>
      </c>
      <c r="H213" s="0" t="n">
        <v>149.23</v>
      </c>
      <c r="I213" s="11" t="s">
        <v>39</v>
      </c>
      <c r="J213" s="11" t="s">
        <v>76</v>
      </c>
      <c r="K213" s="11" t="s">
        <v>53</v>
      </c>
    </row>
    <row r="214" customFormat="false" ht="15" hidden="false" customHeight="false" outlineLevel="0" collapsed="false">
      <c r="A214" s="0" t="n">
        <v>1281</v>
      </c>
      <c r="B214" s="10" t="n">
        <v>45415</v>
      </c>
      <c r="C214" s="11" t="s">
        <v>285</v>
      </c>
      <c r="D214" s="11" t="s">
        <v>65</v>
      </c>
      <c r="E214" s="11" t="s">
        <v>102</v>
      </c>
      <c r="F214" s="11" t="s">
        <v>103</v>
      </c>
      <c r="G214" s="0" t="n">
        <v>9</v>
      </c>
      <c r="H214" s="0" t="n">
        <v>-2668.4</v>
      </c>
      <c r="I214" s="11" t="s">
        <v>46</v>
      </c>
      <c r="J214" s="11" t="s">
        <v>76</v>
      </c>
      <c r="K214" s="11" t="s">
        <v>86</v>
      </c>
    </row>
    <row r="215" customFormat="false" ht="15" hidden="false" customHeight="false" outlineLevel="0" collapsed="false">
      <c r="A215" s="0" t="n">
        <v>1154</v>
      </c>
      <c r="B215" s="10" t="n">
        <v>45474</v>
      </c>
      <c r="C215" s="11" t="s">
        <v>238</v>
      </c>
      <c r="D215" s="11" t="s">
        <v>36</v>
      </c>
      <c r="E215" s="11" t="s">
        <v>60</v>
      </c>
      <c r="F215" s="11" t="s">
        <v>106</v>
      </c>
      <c r="G215" s="0" t="n">
        <v>2</v>
      </c>
      <c r="H215" s="0" t="n">
        <v>2319.07</v>
      </c>
      <c r="I215" s="11" t="s">
        <v>39</v>
      </c>
      <c r="J215" s="11" t="s">
        <v>115</v>
      </c>
      <c r="K215" s="11" t="s">
        <v>53</v>
      </c>
    </row>
    <row r="216" customFormat="false" ht="15" hidden="false" customHeight="false" outlineLevel="0" collapsed="false">
      <c r="A216" s="0" t="n">
        <v>1282</v>
      </c>
      <c r="B216" s="10" t="n">
        <v>45583</v>
      </c>
      <c r="C216" s="11" t="s">
        <v>42</v>
      </c>
      <c r="D216" s="11" t="s">
        <v>43</v>
      </c>
      <c r="E216" s="11" t="s">
        <v>37</v>
      </c>
      <c r="F216" s="11" t="s">
        <v>38</v>
      </c>
      <c r="G216" s="0" t="n">
        <v>8</v>
      </c>
      <c r="H216" s="0" t="n">
        <v>2864.27</v>
      </c>
      <c r="I216" s="11" t="s">
        <v>46</v>
      </c>
      <c r="J216" s="11" t="s">
        <v>57</v>
      </c>
      <c r="K216" s="11" t="s">
        <v>41</v>
      </c>
    </row>
    <row r="217" customFormat="false" ht="15" hidden="false" customHeight="false" outlineLevel="0" collapsed="false">
      <c r="A217" s="0" t="n">
        <v>1083</v>
      </c>
      <c r="B217" s="10" t="n">
        <v>45388</v>
      </c>
      <c r="C217" s="11" t="s">
        <v>286</v>
      </c>
      <c r="D217" s="11" t="s">
        <v>77</v>
      </c>
      <c r="E217" s="11" t="s">
        <v>102</v>
      </c>
      <c r="F217" s="11" t="s">
        <v>103</v>
      </c>
      <c r="G217" s="0" t="n">
        <v>8</v>
      </c>
      <c r="H217" s="0" t="n">
        <v>2284.77</v>
      </c>
      <c r="I217" s="11" t="s">
        <v>52</v>
      </c>
      <c r="J217" s="11" t="s">
        <v>85</v>
      </c>
      <c r="K217" s="11" t="s">
        <v>80</v>
      </c>
    </row>
    <row r="218" customFormat="false" ht="15" hidden="false" customHeight="false" outlineLevel="0" collapsed="false">
      <c r="A218" s="0" t="n">
        <v>1027</v>
      </c>
      <c r="B218" s="10" t="n">
        <v>45581</v>
      </c>
      <c r="C218" s="11" t="s">
        <v>286</v>
      </c>
      <c r="D218" s="11" t="s">
        <v>59</v>
      </c>
      <c r="E218" s="11" t="s">
        <v>102</v>
      </c>
      <c r="F218" s="11" t="s">
        <v>151</v>
      </c>
      <c r="G218" s="0" t="n">
        <v>4</v>
      </c>
      <c r="H218" s="0" t="n">
        <v>2015.78</v>
      </c>
      <c r="I218" s="11" t="s">
        <v>39</v>
      </c>
      <c r="J218" s="11" t="s">
        <v>57</v>
      </c>
      <c r="K218" s="11" t="s">
        <v>47</v>
      </c>
    </row>
    <row r="219" customFormat="false" ht="15" hidden="false" customHeight="false" outlineLevel="0" collapsed="false">
      <c r="A219" s="0" t="n">
        <v>1190</v>
      </c>
      <c r="B219" s="10" t="n">
        <v>45577</v>
      </c>
      <c r="C219" s="11" t="s">
        <v>142</v>
      </c>
      <c r="D219" s="11" t="s">
        <v>59</v>
      </c>
      <c r="E219" s="11" t="s">
        <v>37</v>
      </c>
      <c r="F219" s="11" t="s">
        <v>93</v>
      </c>
      <c r="G219" s="0" t="n">
        <v>5</v>
      </c>
      <c r="H219" s="0" t="n">
        <v>2120.6</v>
      </c>
      <c r="I219" s="11" t="s">
        <v>68</v>
      </c>
      <c r="J219" s="11" t="s">
        <v>122</v>
      </c>
      <c r="K219" s="11" t="s">
        <v>63</v>
      </c>
    </row>
    <row r="220" customFormat="false" ht="15" hidden="false" customHeight="false" outlineLevel="0" collapsed="false">
      <c r="A220" s="0" t="n">
        <v>1159</v>
      </c>
      <c r="B220" s="10" t="n">
        <v>45332</v>
      </c>
      <c r="C220" s="11" t="s">
        <v>287</v>
      </c>
      <c r="D220" s="11" t="s">
        <v>288</v>
      </c>
      <c r="E220" s="11" t="s">
        <v>83</v>
      </c>
      <c r="F220" s="11" t="s">
        <v>84</v>
      </c>
      <c r="G220" s="0" t="n">
        <v>9</v>
      </c>
      <c r="H220" s="0" t="n">
        <v>895.42</v>
      </c>
      <c r="I220" s="11" t="s">
        <v>46</v>
      </c>
      <c r="J220" s="11" t="s">
        <v>40</v>
      </c>
    </row>
    <row r="221" customFormat="false" ht="15" hidden="false" customHeight="false" outlineLevel="0" collapsed="false">
      <c r="A221" s="0" t="n">
        <v>1094</v>
      </c>
      <c r="B221" s="0" t="s">
        <v>289</v>
      </c>
      <c r="C221" s="0" t="s">
        <v>86</v>
      </c>
      <c r="D221" s="0" t="s">
        <v>49</v>
      </c>
      <c r="E221" s="0" t="s">
        <v>60</v>
      </c>
      <c r="F221" s="0" t="s">
        <v>106</v>
      </c>
      <c r="G221" s="0" t="n">
        <v>3</v>
      </c>
      <c r="I221" s="0" t="s">
        <v>68</v>
      </c>
      <c r="J221" s="0" t="s">
        <v>69</v>
      </c>
      <c r="K221" s="0" t="s">
        <v>80</v>
      </c>
    </row>
    <row r="222" customFormat="false" ht="15" hidden="false" customHeight="false" outlineLevel="0" collapsed="false">
      <c r="A222" s="0" t="n">
        <v>1018</v>
      </c>
      <c r="B222" s="10" t="n">
        <v>45409</v>
      </c>
      <c r="C222" s="11" t="s">
        <v>143</v>
      </c>
      <c r="D222" s="11" t="s">
        <v>82</v>
      </c>
      <c r="E222" s="11" t="s">
        <v>66</v>
      </c>
      <c r="F222" s="11" t="s">
        <v>67</v>
      </c>
      <c r="G222" s="0" t="n">
        <v>2</v>
      </c>
      <c r="H222" s="0" t="n">
        <v>2129.37</v>
      </c>
      <c r="I222" s="11" t="s">
        <v>46</v>
      </c>
      <c r="J222" s="11" t="s">
        <v>79</v>
      </c>
      <c r="K222" s="11" t="s">
        <v>41</v>
      </c>
    </row>
    <row r="223" customFormat="false" ht="15" hidden="false" customHeight="false" outlineLevel="0" collapsed="false">
      <c r="A223" s="0" t="n">
        <v>1136</v>
      </c>
      <c r="B223" s="10" t="n">
        <v>45313</v>
      </c>
      <c r="C223" s="11" t="s">
        <v>211</v>
      </c>
      <c r="E223" s="11" t="s">
        <v>66</v>
      </c>
      <c r="F223" s="11" t="s">
        <v>67</v>
      </c>
      <c r="G223" s="0" t="n">
        <v>6</v>
      </c>
      <c r="H223" s="0" t="n">
        <v>1822.92</v>
      </c>
      <c r="I223" s="11" t="s">
        <v>52</v>
      </c>
      <c r="J223" s="11" t="s">
        <v>79</v>
      </c>
      <c r="K223" s="11" t="s">
        <v>290</v>
      </c>
    </row>
    <row r="224" customFormat="false" ht="15" hidden="false" customHeight="false" outlineLevel="0" collapsed="false">
      <c r="A224" s="0" t="n">
        <v>1026</v>
      </c>
      <c r="B224" s="10" t="n">
        <v>45596</v>
      </c>
      <c r="C224" s="11" t="s">
        <v>291</v>
      </c>
      <c r="D224" s="11" t="s">
        <v>36</v>
      </c>
      <c r="E224" s="11" t="s">
        <v>37</v>
      </c>
      <c r="F224" s="11" t="s">
        <v>108</v>
      </c>
      <c r="G224" s="0" t="n">
        <v>7</v>
      </c>
      <c r="H224" s="11" t="s">
        <v>292</v>
      </c>
      <c r="I224" s="11" t="s">
        <v>52</v>
      </c>
      <c r="J224" s="11" t="s">
        <v>115</v>
      </c>
      <c r="K224" s="11" t="s">
        <v>41</v>
      </c>
    </row>
    <row r="225" customFormat="false" ht="15" hidden="false" customHeight="false" outlineLevel="0" collapsed="false">
      <c r="A225" s="0" t="n">
        <v>1230</v>
      </c>
      <c r="B225" s="10" t="n">
        <v>45416</v>
      </c>
      <c r="C225" s="11" t="s">
        <v>293</v>
      </c>
      <c r="D225" s="11" t="s">
        <v>65</v>
      </c>
      <c r="E225" s="11" t="s">
        <v>102</v>
      </c>
      <c r="F225" s="11" t="s">
        <v>151</v>
      </c>
      <c r="G225" s="0" t="n">
        <v>1</v>
      </c>
      <c r="H225" s="0" t="n">
        <v>298.63</v>
      </c>
      <c r="I225" s="11" t="s">
        <v>68</v>
      </c>
      <c r="J225" s="11" t="s">
        <v>89</v>
      </c>
      <c r="K225" s="11" t="s">
        <v>63</v>
      </c>
    </row>
    <row r="226" customFormat="false" ht="15" hidden="false" customHeight="false" outlineLevel="0" collapsed="false">
      <c r="A226" s="0" t="n">
        <v>1125</v>
      </c>
      <c r="B226" s="10" t="n">
        <v>45540</v>
      </c>
      <c r="C226" s="11" t="s">
        <v>186</v>
      </c>
      <c r="D226" s="11" t="s">
        <v>49</v>
      </c>
      <c r="E226" s="11" t="s">
        <v>102</v>
      </c>
      <c r="F226" s="11" t="s">
        <v>110</v>
      </c>
      <c r="G226" s="0" t="n">
        <v>5</v>
      </c>
      <c r="H226" s="0" t="n">
        <v>662.4</v>
      </c>
      <c r="I226" s="11" t="s">
        <v>46</v>
      </c>
      <c r="J226" s="11" t="s">
        <v>122</v>
      </c>
      <c r="K226" s="11" t="s">
        <v>74</v>
      </c>
    </row>
    <row r="227" customFormat="false" ht="15" hidden="false" customHeight="false" outlineLevel="0" collapsed="false">
      <c r="A227" s="0" t="n">
        <v>1147</v>
      </c>
      <c r="B227" s="10" t="n">
        <v>45431</v>
      </c>
      <c r="C227" s="11" t="s">
        <v>294</v>
      </c>
      <c r="D227" s="11" t="s">
        <v>43</v>
      </c>
      <c r="E227" s="11" t="s">
        <v>83</v>
      </c>
      <c r="F227" s="11" t="s">
        <v>129</v>
      </c>
      <c r="G227" s="0" t="n">
        <v>7</v>
      </c>
      <c r="H227" s="0" t="n">
        <v>293.31</v>
      </c>
      <c r="I227" s="11" t="s">
        <v>52</v>
      </c>
      <c r="J227" s="11" t="s">
        <v>73</v>
      </c>
      <c r="K227" s="11" t="s">
        <v>86</v>
      </c>
    </row>
    <row r="228" customFormat="false" ht="15" hidden="false" customHeight="false" outlineLevel="0" collapsed="false">
      <c r="A228" s="0" t="n">
        <v>1022</v>
      </c>
      <c r="B228" s="0" t="s">
        <v>289</v>
      </c>
      <c r="C228" s="0" t="s">
        <v>246</v>
      </c>
      <c r="D228" s="0" t="s">
        <v>65</v>
      </c>
      <c r="E228" s="0" t="s">
        <v>60</v>
      </c>
      <c r="F228" s="0" t="s">
        <v>117</v>
      </c>
      <c r="G228" s="0" t="n">
        <v>1</v>
      </c>
      <c r="H228" s="0" t="n">
        <v>1963.39</v>
      </c>
      <c r="I228" s="0" t="s">
        <v>46</v>
      </c>
      <c r="J228" s="0" t="s">
        <v>57</v>
      </c>
      <c r="K228" s="0" t="s">
        <v>58</v>
      </c>
    </row>
    <row r="229" customFormat="false" ht="15" hidden="false" customHeight="false" outlineLevel="0" collapsed="false">
      <c r="A229" s="0" t="n">
        <v>1272</v>
      </c>
      <c r="B229" s="10" t="n">
        <v>45300</v>
      </c>
      <c r="C229" s="11" t="s">
        <v>295</v>
      </c>
      <c r="D229" s="11" t="s">
        <v>43</v>
      </c>
      <c r="E229" s="11" t="s">
        <v>83</v>
      </c>
      <c r="F229" s="11" t="s">
        <v>84</v>
      </c>
      <c r="G229" s="0" t="n">
        <v>8</v>
      </c>
      <c r="H229" s="0" t="n">
        <v>1380.42</v>
      </c>
      <c r="I229" s="11" t="s">
        <v>68</v>
      </c>
      <c r="J229" s="11" t="s">
        <v>79</v>
      </c>
    </row>
    <row r="230" customFormat="false" ht="15" hidden="false" customHeight="false" outlineLevel="0" collapsed="false">
      <c r="A230" s="0" t="n">
        <v>1166</v>
      </c>
      <c r="B230" s="10" t="n">
        <v>45336</v>
      </c>
      <c r="C230" s="11" t="s">
        <v>64</v>
      </c>
      <c r="E230" s="11" t="s">
        <v>37</v>
      </c>
      <c r="F230" s="11" t="s">
        <v>38</v>
      </c>
      <c r="G230" s="0" t="n">
        <v>2</v>
      </c>
      <c r="H230" s="0" t="n">
        <v>1658.99</v>
      </c>
      <c r="I230" s="11" t="s">
        <v>39</v>
      </c>
      <c r="J230" s="11" t="s">
        <v>89</v>
      </c>
      <c r="K230" s="11" t="s">
        <v>80</v>
      </c>
    </row>
    <row r="231" customFormat="false" ht="15" hidden="false" customHeight="false" outlineLevel="0" collapsed="false">
      <c r="A231" s="0" t="n">
        <v>1014</v>
      </c>
      <c r="B231" s="10" t="n">
        <v>45619</v>
      </c>
      <c r="C231" s="11" t="s">
        <v>158</v>
      </c>
      <c r="D231" s="11" t="s">
        <v>36</v>
      </c>
      <c r="E231" s="11" t="s">
        <v>50</v>
      </c>
      <c r="F231" s="11" t="s">
        <v>99</v>
      </c>
      <c r="G231" s="0" t="n">
        <v>3</v>
      </c>
      <c r="H231" s="0" t="n">
        <v>1134.26</v>
      </c>
      <c r="I231" s="11" t="s">
        <v>52</v>
      </c>
      <c r="J231" s="11" t="s">
        <v>69</v>
      </c>
      <c r="K231" s="11" t="s">
        <v>86</v>
      </c>
    </row>
    <row r="232" customFormat="false" ht="15" hidden="false" customHeight="false" outlineLevel="0" collapsed="false">
      <c r="A232" s="0" t="n">
        <v>1019</v>
      </c>
      <c r="B232" s="10" t="n">
        <v>45328</v>
      </c>
      <c r="C232" s="11" t="s">
        <v>107</v>
      </c>
      <c r="D232" s="11" t="s">
        <v>59</v>
      </c>
      <c r="E232" s="11" t="s">
        <v>83</v>
      </c>
      <c r="F232" s="11" t="s">
        <v>164</v>
      </c>
      <c r="G232" s="0" t="n">
        <v>8</v>
      </c>
      <c r="H232" s="0" t="n">
        <v>658.43</v>
      </c>
      <c r="I232" s="11" t="s">
        <v>52</v>
      </c>
      <c r="J232" s="11" t="s">
        <v>73</v>
      </c>
    </row>
    <row r="233" customFormat="false" ht="15" hidden="false" customHeight="false" outlineLevel="0" collapsed="false">
      <c r="A233" s="0" t="n">
        <v>1155</v>
      </c>
      <c r="B233" s="10" t="n">
        <v>45465</v>
      </c>
      <c r="C233" s="11" t="s">
        <v>296</v>
      </c>
      <c r="D233" s="11" t="s">
        <v>77</v>
      </c>
      <c r="E233" s="11" t="s">
        <v>60</v>
      </c>
      <c r="F233" s="11" t="s">
        <v>95</v>
      </c>
      <c r="G233" s="0" t="n">
        <v>8</v>
      </c>
      <c r="H233" s="0" t="n">
        <v>1902.57</v>
      </c>
      <c r="I233" s="11" t="s">
        <v>52</v>
      </c>
      <c r="J233" s="11" t="s">
        <v>115</v>
      </c>
      <c r="K233" s="11" t="s">
        <v>63</v>
      </c>
    </row>
    <row r="234" customFormat="false" ht="15" hidden="false" customHeight="false" outlineLevel="0" collapsed="false">
      <c r="A234" s="0" t="n">
        <v>1085</v>
      </c>
      <c r="B234" s="10" t="n">
        <v>45339</v>
      </c>
      <c r="C234" s="11" t="s">
        <v>297</v>
      </c>
      <c r="D234" s="11" t="s">
        <v>65</v>
      </c>
      <c r="E234" s="11" t="s">
        <v>66</v>
      </c>
      <c r="F234" s="11" t="s">
        <v>45</v>
      </c>
      <c r="G234" s="0" t="n">
        <v>8</v>
      </c>
      <c r="H234" s="0" t="n">
        <v>2842.24</v>
      </c>
      <c r="I234" s="11" t="s">
        <v>52</v>
      </c>
      <c r="J234" s="11" t="s">
        <v>85</v>
      </c>
      <c r="K234" s="11" t="s">
        <v>47</v>
      </c>
    </row>
    <row r="235" customFormat="false" ht="15" hidden="false" customHeight="false" outlineLevel="0" collapsed="false">
      <c r="A235" s="0" t="n">
        <v>1050</v>
      </c>
      <c r="B235" s="10" t="n">
        <v>45657</v>
      </c>
      <c r="C235" s="11" t="s">
        <v>142</v>
      </c>
      <c r="D235" s="11" t="s">
        <v>59</v>
      </c>
      <c r="E235" s="11" t="s">
        <v>216</v>
      </c>
      <c r="F235" s="11" t="s">
        <v>103</v>
      </c>
      <c r="G235" s="0" t="n">
        <v>6</v>
      </c>
      <c r="H235" s="0" t="n">
        <v>972.73</v>
      </c>
      <c r="J235" s="11" t="s">
        <v>69</v>
      </c>
      <c r="K235" s="11" t="s">
        <v>80</v>
      </c>
    </row>
    <row r="236" customFormat="false" ht="15" hidden="false" customHeight="false" outlineLevel="0" collapsed="false">
      <c r="A236" s="0" t="n">
        <v>1078</v>
      </c>
      <c r="B236" s="10" t="n">
        <v>45644</v>
      </c>
      <c r="C236" s="11" t="s">
        <v>135</v>
      </c>
      <c r="E236" s="11" t="s">
        <v>298</v>
      </c>
      <c r="F236" s="11" t="s">
        <v>84</v>
      </c>
      <c r="G236" s="0" t="n">
        <v>5</v>
      </c>
      <c r="H236" s="0" t="n">
        <v>1511.41</v>
      </c>
      <c r="I236" s="11" t="s">
        <v>68</v>
      </c>
      <c r="J236" s="11" t="s">
        <v>76</v>
      </c>
      <c r="K236" s="11" t="s">
        <v>41</v>
      </c>
    </row>
    <row r="237" customFormat="false" ht="15" hidden="false" customHeight="false" outlineLevel="0" collapsed="false">
      <c r="A237" s="0" t="n">
        <v>1008</v>
      </c>
      <c r="B237" s="10" t="n">
        <v>45619</v>
      </c>
      <c r="C237" s="11" t="s">
        <v>279</v>
      </c>
      <c r="D237" s="11" t="s">
        <v>112</v>
      </c>
      <c r="E237" s="11" t="s">
        <v>102</v>
      </c>
      <c r="F237" s="11" t="s">
        <v>144</v>
      </c>
      <c r="G237" s="0" t="n">
        <v>1</v>
      </c>
      <c r="H237" s="0" t="n">
        <v>702.56</v>
      </c>
      <c r="I237" s="11" t="s">
        <v>46</v>
      </c>
      <c r="J237" s="11" t="s">
        <v>76</v>
      </c>
      <c r="K237" s="11" t="s">
        <v>74</v>
      </c>
    </row>
    <row r="238" customFormat="false" ht="15" hidden="false" customHeight="false" outlineLevel="0" collapsed="false">
      <c r="A238" s="0" t="n">
        <v>1124</v>
      </c>
      <c r="B238" s="10" t="n">
        <v>45582</v>
      </c>
      <c r="C238" s="11" t="s">
        <v>195</v>
      </c>
      <c r="E238" s="11" t="s">
        <v>50</v>
      </c>
      <c r="F238" s="11" t="s">
        <v>99</v>
      </c>
      <c r="G238" s="0" t="n">
        <v>3</v>
      </c>
      <c r="H238" s="11" t="s">
        <v>299</v>
      </c>
      <c r="I238" s="11" t="s">
        <v>46</v>
      </c>
      <c r="J238" s="11" t="s">
        <v>62</v>
      </c>
      <c r="K238" s="11" t="s">
        <v>47</v>
      </c>
    </row>
    <row r="239" customFormat="false" ht="15" hidden="false" customHeight="false" outlineLevel="0" collapsed="false">
      <c r="A239" s="0" t="n">
        <v>1117</v>
      </c>
      <c r="B239" s="10" t="n">
        <v>45465</v>
      </c>
      <c r="C239" s="11" t="s">
        <v>125</v>
      </c>
      <c r="D239" s="11" t="s">
        <v>300</v>
      </c>
      <c r="E239" s="11" t="s">
        <v>37</v>
      </c>
      <c r="F239" s="11" t="s">
        <v>38</v>
      </c>
      <c r="G239" s="0" t="n">
        <v>2</v>
      </c>
      <c r="H239" s="0" t="n">
        <v>951.39</v>
      </c>
      <c r="I239" s="11" t="s">
        <v>39</v>
      </c>
      <c r="J239" s="11" t="s">
        <v>76</v>
      </c>
      <c r="K239" s="11" t="s">
        <v>86</v>
      </c>
    </row>
    <row r="240" customFormat="false" ht="15" hidden="false" customHeight="false" outlineLevel="0" collapsed="false">
      <c r="A240" s="0" t="n">
        <v>1122</v>
      </c>
      <c r="B240" s="10" t="n">
        <v>45651</v>
      </c>
      <c r="C240" s="11" t="s">
        <v>223</v>
      </c>
      <c r="D240" s="11" t="s">
        <v>112</v>
      </c>
      <c r="E240" s="11" t="s">
        <v>37</v>
      </c>
      <c r="F240" s="11" t="s">
        <v>93</v>
      </c>
      <c r="G240" s="0" t="n">
        <v>1</v>
      </c>
      <c r="H240" s="0" t="n">
        <v>560.59</v>
      </c>
      <c r="I240" s="11" t="s">
        <v>52</v>
      </c>
      <c r="J240" s="11" t="s">
        <v>89</v>
      </c>
      <c r="K240" s="11" t="s">
        <v>41</v>
      </c>
    </row>
    <row r="241" customFormat="false" ht="15" hidden="false" customHeight="false" outlineLevel="0" collapsed="false">
      <c r="A241" s="0" t="n">
        <v>1276</v>
      </c>
      <c r="B241" s="10" t="n">
        <v>45488</v>
      </c>
      <c r="C241" s="11" t="s">
        <v>269</v>
      </c>
      <c r="D241" s="11" t="s">
        <v>65</v>
      </c>
      <c r="E241" s="11" t="s">
        <v>83</v>
      </c>
      <c r="F241" s="11" t="s">
        <v>129</v>
      </c>
      <c r="G241" s="0" t="n">
        <v>2</v>
      </c>
      <c r="H241" s="0" t="n">
        <v>-953.79</v>
      </c>
      <c r="I241" s="11" t="s">
        <v>39</v>
      </c>
      <c r="J241" s="11" t="s">
        <v>69</v>
      </c>
      <c r="K241" s="11" t="s">
        <v>74</v>
      </c>
    </row>
    <row r="242" customFormat="false" ht="15" hidden="false" customHeight="false" outlineLevel="0" collapsed="false">
      <c r="A242" s="0" t="n">
        <v>1115</v>
      </c>
      <c r="B242" s="0" t="s">
        <v>131</v>
      </c>
      <c r="C242" s="0" t="s">
        <v>301</v>
      </c>
      <c r="D242" s="0" t="s">
        <v>59</v>
      </c>
      <c r="E242" s="0" t="s">
        <v>302</v>
      </c>
      <c r="F242" s="0" t="s">
        <v>95</v>
      </c>
      <c r="G242" s="0" t="n">
        <v>10</v>
      </c>
      <c r="H242" s="0" t="n">
        <v>1906.57</v>
      </c>
      <c r="I242" s="0" t="s">
        <v>39</v>
      </c>
      <c r="J242" s="0" t="s">
        <v>122</v>
      </c>
      <c r="K242" s="0" t="s">
        <v>47</v>
      </c>
    </row>
    <row r="243" customFormat="false" ht="15" hidden="false" customHeight="false" outlineLevel="0" collapsed="false">
      <c r="A243" s="0" t="n">
        <v>1053</v>
      </c>
      <c r="B243" s="10" t="n">
        <v>45567</v>
      </c>
      <c r="C243" s="11" t="s">
        <v>190</v>
      </c>
      <c r="D243" s="11" t="s">
        <v>303</v>
      </c>
      <c r="E243" s="11" t="s">
        <v>102</v>
      </c>
      <c r="F243" s="11" t="s">
        <v>110</v>
      </c>
      <c r="G243" s="0" t="n">
        <v>8</v>
      </c>
      <c r="H243" s="0" t="n">
        <v>673.88</v>
      </c>
      <c r="I243" s="11" t="s">
        <v>68</v>
      </c>
      <c r="J243" s="11" t="s">
        <v>73</v>
      </c>
      <c r="K243" s="11" t="s">
        <v>53</v>
      </c>
    </row>
    <row r="244" customFormat="false" ht="15" hidden="false" customHeight="false" outlineLevel="0" collapsed="false">
      <c r="A244" s="0" t="n">
        <v>1300</v>
      </c>
      <c r="D244" s="0" t="s">
        <v>77</v>
      </c>
      <c r="E244" s="0" t="s">
        <v>66</v>
      </c>
      <c r="F244" s="0" t="s">
        <v>55</v>
      </c>
      <c r="G244" s="0" t="n">
        <v>5</v>
      </c>
      <c r="H244" s="0" t="n">
        <v>2560.4</v>
      </c>
      <c r="I244" s="0" t="s">
        <v>46</v>
      </c>
      <c r="J244" s="0" t="s">
        <v>79</v>
      </c>
      <c r="K244" s="0" t="s">
        <v>47</v>
      </c>
    </row>
    <row r="245" customFormat="false" ht="15" hidden="false" customHeight="false" outlineLevel="0" collapsed="false">
      <c r="A245" s="0" t="n">
        <v>1071</v>
      </c>
      <c r="B245" s="10" t="n">
        <v>45618</v>
      </c>
      <c r="C245" s="11" t="s">
        <v>161</v>
      </c>
      <c r="D245" s="11" t="s">
        <v>82</v>
      </c>
      <c r="F245" s="11" t="s">
        <v>219</v>
      </c>
      <c r="G245" s="0" t="n">
        <v>10</v>
      </c>
      <c r="H245" s="0" t="n">
        <v>867.33</v>
      </c>
      <c r="I245" s="11" t="s">
        <v>68</v>
      </c>
      <c r="J245" s="11" t="s">
        <v>104</v>
      </c>
      <c r="K245" s="11" t="s">
        <v>86</v>
      </c>
    </row>
    <row r="246" customFormat="false" ht="15" hidden="false" customHeight="false" outlineLevel="0" collapsed="false">
      <c r="A246" s="0" t="n">
        <v>1168</v>
      </c>
      <c r="B246" s="10" t="n">
        <v>45585</v>
      </c>
      <c r="C246" s="11" t="s">
        <v>172</v>
      </c>
      <c r="D246" s="11" t="s">
        <v>256</v>
      </c>
      <c r="E246" s="11" t="s">
        <v>60</v>
      </c>
      <c r="F246" s="11" t="s">
        <v>95</v>
      </c>
      <c r="G246" s="0" t="n">
        <v>10</v>
      </c>
      <c r="H246" s="0" t="n">
        <v>2655.05</v>
      </c>
      <c r="I246" s="11" t="s">
        <v>46</v>
      </c>
      <c r="J246" s="11" t="s">
        <v>85</v>
      </c>
    </row>
    <row r="247" customFormat="false" ht="15" hidden="false" customHeight="false" outlineLevel="0" collapsed="false">
      <c r="A247" s="0" t="n">
        <v>1074</v>
      </c>
      <c r="B247" s="10" t="n">
        <v>45593</v>
      </c>
      <c r="C247" s="11" t="s">
        <v>196</v>
      </c>
      <c r="D247" s="11" t="s">
        <v>82</v>
      </c>
      <c r="E247" s="11" t="s">
        <v>102</v>
      </c>
      <c r="F247" s="11" t="s">
        <v>144</v>
      </c>
      <c r="G247" s="0" t="n">
        <v>10</v>
      </c>
      <c r="H247" s="0" t="n">
        <v>2881.12</v>
      </c>
      <c r="I247" s="11" t="s">
        <v>46</v>
      </c>
      <c r="J247" s="11" t="s">
        <v>115</v>
      </c>
      <c r="K247" s="11" t="s">
        <v>58</v>
      </c>
    </row>
    <row r="248" customFormat="false" ht="15" hidden="false" customHeight="false" outlineLevel="0" collapsed="false">
      <c r="A248" s="0" t="n">
        <v>1171</v>
      </c>
      <c r="B248" s="0" t="s">
        <v>131</v>
      </c>
      <c r="C248" s="0" t="s">
        <v>304</v>
      </c>
      <c r="D248" s="0" t="s">
        <v>36</v>
      </c>
      <c r="E248" s="0" t="s">
        <v>60</v>
      </c>
      <c r="F248" s="0" t="s">
        <v>91</v>
      </c>
      <c r="G248" s="0" t="n">
        <v>6</v>
      </c>
      <c r="H248" s="0" t="n">
        <v>-2843.5</v>
      </c>
      <c r="I248" s="0" t="s">
        <v>39</v>
      </c>
      <c r="J248" s="0" t="s">
        <v>40</v>
      </c>
      <c r="K248" s="0" t="s">
        <v>47</v>
      </c>
    </row>
    <row r="249" customFormat="false" ht="15" hidden="false" customHeight="false" outlineLevel="0" collapsed="false">
      <c r="A249" s="0" t="n">
        <v>1126</v>
      </c>
      <c r="B249" s="10" t="n">
        <v>45639</v>
      </c>
      <c r="C249" s="11" t="s">
        <v>305</v>
      </c>
      <c r="D249" s="11" t="s">
        <v>59</v>
      </c>
      <c r="E249" s="11" t="s">
        <v>83</v>
      </c>
      <c r="F249" s="11" t="s">
        <v>164</v>
      </c>
      <c r="G249" s="0" t="n">
        <v>-1</v>
      </c>
      <c r="H249" s="0" t="n">
        <v>677.14</v>
      </c>
      <c r="I249" s="11" t="s">
        <v>46</v>
      </c>
      <c r="J249" s="11" t="s">
        <v>115</v>
      </c>
      <c r="K249" s="11" t="s">
        <v>58</v>
      </c>
    </row>
    <row r="250" customFormat="false" ht="15" hidden="false" customHeight="false" outlineLevel="0" collapsed="false">
      <c r="A250" s="0" t="n">
        <v>1234</v>
      </c>
      <c r="B250" s="10" t="n">
        <v>45644</v>
      </c>
      <c r="D250" s="11" t="s">
        <v>112</v>
      </c>
      <c r="E250" s="11" t="s">
        <v>102</v>
      </c>
      <c r="F250" s="11" t="s">
        <v>121</v>
      </c>
      <c r="G250" s="0" t="n">
        <v>1</v>
      </c>
      <c r="H250" s="0" t="n">
        <v>311.1</v>
      </c>
      <c r="I250" s="11" t="s">
        <v>52</v>
      </c>
      <c r="J250" s="11" t="s">
        <v>69</v>
      </c>
      <c r="K250" s="11" t="s">
        <v>86</v>
      </c>
    </row>
    <row r="251" customFormat="false" ht="15" hidden="false" customHeight="false" outlineLevel="0" collapsed="false">
      <c r="A251" s="0" t="n">
        <v>1289</v>
      </c>
      <c r="B251" s="10" t="n">
        <v>45582</v>
      </c>
      <c r="C251" s="11" t="s">
        <v>271</v>
      </c>
      <c r="D251" s="11" t="s">
        <v>43</v>
      </c>
      <c r="E251" s="11" t="s">
        <v>206</v>
      </c>
      <c r="F251" s="11" t="s">
        <v>84</v>
      </c>
      <c r="G251" s="0" t="n">
        <v>5</v>
      </c>
      <c r="H251" s="0" t="n">
        <v>2324.52</v>
      </c>
      <c r="I251" s="11" t="s">
        <v>46</v>
      </c>
      <c r="J251" s="11" t="s">
        <v>69</v>
      </c>
      <c r="K251" s="11" t="s">
        <v>53</v>
      </c>
    </row>
    <row r="252" customFormat="false" ht="15" hidden="false" customHeight="false" outlineLevel="0" collapsed="false">
      <c r="A252" s="0" t="n">
        <v>1288</v>
      </c>
      <c r="B252" s="10" t="n">
        <v>45431</v>
      </c>
      <c r="C252" s="11" t="s">
        <v>306</v>
      </c>
      <c r="D252" s="11" t="s">
        <v>59</v>
      </c>
      <c r="E252" s="11" t="s">
        <v>60</v>
      </c>
      <c r="F252" s="11" t="s">
        <v>117</v>
      </c>
      <c r="H252" s="0" t="n">
        <v>1890.05</v>
      </c>
      <c r="I252" s="11" t="s">
        <v>68</v>
      </c>
      <c r="J252" s="11" t="s">
        <v>85</v>
      </c>
      <c r="K252" s="11" t="s">
        <v>86</v>
      </c>
    </row>
    <row r="253" customFormat="false" ht="15" hidden="false" customHeight="false" outlineLevel="0" collapsed="false">
      <c r="A253" s="0" t="n">
        <v>1029</v>
      </c>
      <c r="B253" s="10" t="n">
        <v>45359</v>
      </c>
      <c r="C253" s="11" t="s">
        <v>166</v>
      </c>
      <c r="D253" s="11" t="s">
        <v>36</v>
      </c>
      <c r="E253" s="11" t="s">
        <v>66</v>
      </c>
      <c r="F253" s="11" t="s">
        <v>55</v>
      </c>
      <c r="H253" s="0" t="n">
        <v>869.26</v>
      </c>
      <c r="I253" s="11" t="s">
        <v>68</v>
      </c>
      <c r="J253" s="11" t="s">
        <v>104</v>
      </c>
      <c r="K253" s="11" t="s">
        <v>53</v>
      </c>
    </row>
    <row r="254" customFormat="false" ht="15" hidden="false" customHeight="false" outlineLevel="0" collapsed="false">
      <c r="A254" s="0" t="n">
        <v>1008</v>
      </c>
      <c r="B254" s="10" t="n">
        <v>45619</v>
      </c>
      <c r="C254" s="11" t="s">
        <v>279</v>
      </c>
      <c r="D254" s="11" t="s">
        <v>112</v>
      </c>
      <c r="E254" s="11" t="s">
        <v>102</v>
      </c>
      <c r="F254" s="11" t="s">
        <v>144</v>
      </c>
      <c r="G254" s="0" t="n">
        <v>1</v>
      </c>
      <c r="H254" s="0" t="n">
        <v>702.56</v>
      </c>
      <c r="J254" s="11" t="s">
        <v>122</v>
      </c>
      <c r="K254" s="11" t="s">
        <v>74</v>
      </c>
    </row>
    <row r="255" customFormat="false" ht="15" hidden="false" customHeight="false" outlineLevel="0" collapsed="false">
      <c r="A255" s="0" t="n">
        <v>1084</v>
      </c>
      <c r="B255" s="10" t="n">
        <v>45649</v>
      </c>
      <c r="C255" s="11" t="s">
        <v>161</v>
      </c>
      <c r="D255" s="11" t="s">
        <v>82</v>
      </c>
      <c r="E255" s="11" t="s">
        <v>60</v>
      </c>
      <c r="F255" s="11" t="s">
        <v>117</v>
      </c>
      <c r="G255" s="0" t="n">
        <v>10</v>
      </c>
      <c r="H255" s="0" t="n">
        <v>2401.95</v>
      </c>
      <c r="J255" s="11" t="s">
        <v>73</v>
      </c>
    </row>
    <row r="256" customFormat="false" ht="15" hidden="false" customHeight="false" outlineLevel="0" collapsed="false">
      <c r="A256" s="0" t="n">
        <v>1073</v>
      </c>
      <c r="B256" s="10" t="n">
        <v>45335</v>
      </c>
      <c r="C256" s="11" t="s">
        <v>307</v>
      </c>
      <c r="D256" s="11" t="s">
        <v>49</v>
      </c>
      <c r="E256" s="11" t="s">
        <v>66</v>
      </c>
      <c r="F256" s="11" t="s">
        <v>55</v>
      </c>
      <c r="G256" s="0" t="n">
        <v>10</v>
      </c>
      <c r="H256" s="0" t="n">
        <v>1796.46</v>
      </c>
      <c r="I256" s="11" t="s">
        <v>52</v>
      </c>
      <c r="J256" s="11" t="s">
        <v>73</v>
      </c>
      <c r="K256" s="11" t="s">
        <v>63</v>
      </c>
    </row>
    <row r="257" customFormat="false" ht="15" hidden="false" customHeight="false" outlineLevel="0" collapsed="false">
      <c r="A257" s="0" t="n">
        <v>1116</v>
      </c>
      <c r="B257" s="10" t="n">
        <v>45601</v>
      </c>
      <c r="C257" s="11" t="s">
        <v>308</v>
      </c>
      <c r="D257" s="11" t="s">
        <v>65</v>
      </c>
      <c r="E257" s="11" t="s">
        <v>102</v>
      </c>
      <c r="F257" s="11" t="s">
        <v>151</v>
      </c>
      <c r="G257" s="0" t="n">
        <v>9</v>
      </c>
      <c r="H257" s="0" t="n">
        <v>2168.1</v>
      </c>
      <c r="I257" s="11" t="s">
        <v>52</v>
      </c>
      <c r="J257" s="11" t="s">
        <v>76</v>
      </c>
      <c r="K257" s="11" t="s">
        <v>63</v>
      </c>
    </row>
    <row r="258" customFormat="false" ht="15" hidden="false" customHeight="false" outlineLevel="0" collapsed="false">
      <c r="A258" s="0" t="n">
        <v>1198</v>
      </c>
      <c r="B258" s="10" t="n">
        <v>45349</v>
      </c>
      <c r="C258" s="11" t="s">
        <v>309</v>
      </c>
      <c r="D258" s="11" t="s">
        <v>77</v>
      </c>
      <c r="E258" s="11" t="s">
        <v>60</v>
      </c>
      <c r="F258" s="11" t="s">
        <v>91</v>
      </c>
      <c r="G258" s="0" t="n">
        <v>5</v>
      </c>
      <c r="H258" s="0" t="n">
        <v>0</v>
      </c>
      <c r="I258" s="11" t="s">
        <v>46</v>
      </c>
      <c r="J258" s="11" t="s">
        <v>122</v>
      </c>
      <c r="K258" s="11" t="s">
        <v>47</v>
      </c>
    </row>
    <row r="259" customFormat="false" ht="15" hidden="false" customHeight="false" outlineLevel="0" collapsed="false">
      <c r="A259" s="0" t="n">
        <v>1129</v>
      </c>
      <c r="B259" s="10" t="n">
        <v>45452</v>
      </c>
      <c r="C259" s="11" t="s">
        <v>310</v>
      </c>
      <c r="D259" s="11" t="s">
        <v>49</v>
      </c>
      <c r="E259" s="11" t="s">
        <v>102</v>
      </c>
      <c r="F259" s="11" t="s">
        <v>103</v>
      </c>
      <c r="G259" s="0" t="n">
        <v>7</v>
      </c>
      <c r="H259" s="0" t="n">
        <v>882.76</v>
      </c>
      <c r="I259" s="11" t="s">
        <v>152</v>
      </c>
      <c r="J259" s="11" t="s">
        <v>69</v>
      </c>
      <c r="K259" s="11" t="s">
        <v>86</v>
      </c>
    </row>
    <row r="260" customFormat="false" ht="15" hidden="false" customHeight="false" outlineLevel="0" collapsed="false">
      <c r="A260" s="0" t="n">
        <v>1299</v>
      </c>
      <c r="B260" s="10" t="n">
        <v>45591</v>
      </c>
      <c r="C260" s="11" t="s">
        <v>311</v>
      </c>
      <c r="D260" s="11" t="s">
        <v>65</v>
      </c>
      <c r="E260" s="11" t="s">
        <v>37</v>
      </c>
      <c r="F260" s="11" t="s">
        <v>159</v>
      </c>
      <c r="G260" s="0" t="n">
        <v>3</v>
      </c>
      <c r="H260" s="0" t="n">
        <v>1359.71</v>
      </c>
      <c r="I260" s="11" t="s">
        <v>39</v>
      </c>
      <c r="J260" s="11" t="s">
        <v>122</v>
      </c>
      <c r="K260" s="11" t="s">
        <v>41</v>
      </c>
    </row>
    <row r="261" customFormat="false" ht="15" hidden="false" customHeight="false" outlineLevel="0" collapsed="false">
      <c r="A261" s="0" t="n">
        <v>1244</v>
      </c>
      <c r="B261" s="10" t="n">
        <v>45495</v>
      </c>
      <c r="D261" s="11" t="s">
        <v>77</v>
      </c>
      <c r="E261" s="11" t="s">
        <v>60</v>
      </c>
      <c r="F261" s="11" t="s">
        <v>91</v>
      </c>
      <c r="G261" s="0" t="n">
        <v>10</v>
      </c>
      <c r="H261" s="0" t="n">
        <v>2350.28</v>
      </c>
      <c r="I261" s="11" t="s">
        <v>39</v>
      </c>
      <c r="J261" s="11" t="s">
        <v>85</v>
      </c>
      <c r="K261" s="11" t="s">
        <v>47</v>
      </c>
    </row>
    <row r="262" customFormat="false" ht="15" hidden="false" customHeight="false" outlineLevel="0" collapsed="false">
      <c r="A262" s="0" t="n">
        <v>1057</v>
      </c>
      <c r="B262" s="10" t="n">
        <v>45625</v>
      </c>
      <c r="C262" s="11" t="s">
        <v>251</v>
      </c>
      <c r="D262" s="11" t="s">
        <v>312</v>
      </c>
      <c r="E262" s="11" t="s">
        <v>50</v>
      </c>
      <c r="F262" s="11" t="s">
        <v>72</v>
      </c>
      <c r="G262" s="0" t="n">
        <v>4</v>
      </c>
      <c r="H262" s="0" t="n">
        <v>614.09</v>
      </c>
      <c r="I262" s="11" t="s">
        <v>46</v>
      </c>
      <c r="J262" s="11" t="s">
        <v>57</v>
      </c>
      <c r="K262" s="11" t="s">
        <v>313</v>
      </c>
    </row>
    <row r="263" customFormat="false" ht="15" hidden="false" customHeight="false" outlineLevel="0" collapsed="false">
      <c r="A263" s="0" t="n">
        <v>1090</v>
      </c>
      <c r="B263" s="10" t="n">
        <v>45594</v>
      </c>
      <c r="C263" s="11" t="s">
        <v>243</v>
      </c>
      <c r="D263" s="11" t="s">
        <v>65</v>
      </c>
      <c r="E263" s="11" t="s">
        <v>37</v>
      </c>
      <c r="F263" s="11" t="s">
        <v>167</v>
      </c>
      <c r="G263" s="0" t="n">
        <v>8</v>
      </c>
      <c r="H263" s="0" t="n">
        <v>317.14</v>
      </c>
      <c r="I263" s="11" t="s">
        <v>254</v>
      </c>
      <c r="J263" s="11" t="s">
        <v>62</v>
      </c>
      <c r="K263" s="11" t="s">
        <v>80</v>
      </c>
    </row>
    <row r="264" customFormat="false" ht="15" hidden="false" customHeight="false" outlineLevel="0" collapsed="false">
      <c r="A264" s="0" t="n">
        <v>1059</v>
      </c>
      <c r="B264" s="10" t="n">
        <v>45347</v>
      </c>
      <c r="C264" s="11" t="s">
        <v>314</v>
      </c>
      <c r="D264" s="11" t="s">
        <v>90</v>
      </c>
      <c r="E264" s="11" t="s">
        <v>137</v>
      </c>
      <c r="F264" s="11" t="s">
        <v>93</v>
      </c>
      <c r="G264" s="0" t="n">
        <v>10</v>
      </c>
      <c r="H264" s="0" t="n">
        <v>2038.49</v>
      </c>
      <c r="I264" s="11" t="s">
        <v>68</v>
      </c>
      <c r="J264" s="11" t="s">
        <v>122</v>
      </c>
      <c r="K264" s="11" t="s">
        <v>58</v>
      </c>
    </row>
    <row r="265" customFormat="false" ht="15" hidden="false" customHeight="false" outlineLevel="0" collapsed="false">
      <c r="A265" s="0" t="n">
        <v>1157</v>
      </c>
      <c r="B265" s="10" t="n">
        <v>45623</v>
      </c>
      <c r="C265" s="11" t="s">
        <v>315</v>
      </c>
      <c r="D265" s="11" t="s">
        <v>112</v>
      </c>
      <c r="E265" s="11" t="s">
        <v>316</v>
      </c>
      <c r="F265" s="11" t="s">
        <v>106</v>
      </c>
      <c r="G265" s="0" t="n">
        <v>1</v>
      </c>
      <c r="H265" s="0" t="n">
        <v>2600.08</v>
      </c>
      <c r="I265" s="11" t="s">
        <v>39</v>
      </c>
      <c r="J265" s="11" t="s">
        <v>122</v>
      </c>
      <c r="K265" s="11" t="s">
        <v>41</v>
      </c>
    </row>
    <row r="266" customFormat="false" ht="15" hidden="false" customHeight="false" outlineLevel="0" collapsed="false">
      <c r="A266" s="0" t="n">
        <v>1210</v>
      </c>
      <c r="B266" s="10" t="n">
        <v>45444</v>
      </c>
      <c r="C266" s="11" t="s">
        <v>192</v>
      </c>
      <c r="D266" s="11" t="s">
        <v>49</v>
      </c>
      <c r="E266" s="11" t="s">
        <v>83</v>
      </c>
      <c r="F266" s="11" t="s">
        <v>146</v>
      </c>
      <c r="G266" s="0" t="n">
        <v>9</v>
      </c>
      <c r="H266" s="11" t="s">
        <v>317</v>
      </c>
      <c r="I266" s="11" t="s">
        <v>52</v>
      </c>
      <c r="J266" s="11" t="s">
        <v>40</v>
      </c>
      <c r="K266" s="11" t="s">
        <v>63</v>
      </c>
    </row>
    <row r="267" customFormat="false" ht="15" hidden="false" customHeight="false" outlineLevel="0" collapsed="false">
      <c r="A267" s="0" t="n">
        <v>1291</v>
      </c>
      <c r="B267" s="10" t="n">
        <v>45419</v>
      </c>
      <c r="C267" s="11" t="s">
        <v>318</v>
      </c>
      <c r="D267" s="11" t="s">
        <v>112</v>
      </c>
      <c r="E267" s="11" t="s">
        <v>37</v>
      </c>
      <c r="F267" s="11" t="s">
        <v>93</v>
      </c>
      <c r="G267" s="0" t="n">
        <v>5</v>
      </c>
      <c r="H267" s="11" t="s">
        <v>319</v>
      </c>
      <c r="J267" s="11" t="s">
        <v>62</v>
      </c>
      <c r="K267" s="11" t="s">
        <v>53</v>
      </c>
    </row>
    <row r="268" customFormat="false" ht="15" hidden="false" customHeight="false" outlineLevel="0" collapsed="false">
      <c r="A268" s="0" t="n">
        <v>1239</v>
      </c>
      <c r="B268" s="10" t="n">
        <v>45473</v>
      </c>
      <c r="C268" s="11" t="s">
        <v>320</v>
      </c>
      <c r="D268" s="11" t="s">
        <v>112</v>
      </c>
      <c r="E268" s="11" t="s">
        <v>83</v>
      </c>
      <c r="F268" s="11" t="s">
        <v>146</v>
      </c>
      <c r="G268" s="0" t="n">
        <v>7</v>
      </c>
      <c r="H268" s="0" t="n">
        <v>56.78</v>
      </c>
      <c r="I268" s="11" t="s">
        <v>68</v>
      </c>
      <c r="J268" s="11" t="s">
        <v>76</v>
      </c>
      <c r="K268" s="11" t="s">
        <v>41</v>
      </c>
    </row>
    <row r="269" customFormat="false" ht="15" hidden="false" customHeight="false" outlineLevel="0" collapsed="false">
      <c r="A269" s="0" t="n">
        <v>1060</v>
      </c>
      <c r="B269" s="10" t="n">
        <v>45645</v>
      </c>
      <c r="C269" s="11" t="s">
        <v>307</v>
      </c>
      <c r="D269" s="11" t="s">
        <v>59</v>
      </c>
      <c r="E269" s="11" t="s">
        <v>83</v>
      </c>
      <c r="F269" s="11" t="s">
        <v>189</v>
      </c>
      <c r="G269" s="0" t="n">
        <v>10</v>
      </c>
      <c r="H269" s="11" t="s">
        <v>321</v>
      </c>
      <c r="I269" s="11" t="s">
        <v>46</v>
      </c>
      <c r="J269" s="11" t="s">
        <v>89</v>
      </c>
      <c r="K269" s="11" t="s">
        <v>74</v>
      </c>
    </row>
    <row r="270" customFormat="false" ht="15" hidden="false" customHeight="false" outlineLevel="0" collapsed="false">
      <c r="A270" s="0" t="n">
        <v>1233</v>
      </c>
      <c r="B270" s="10" t="n">
        <v>45398</v>
      </c>
      <c r="C270" s="11" t="s">
        <v>322</v>
      </c>
      <c r="D270" s="11" t="s">
        <v>49</v>
      </c>
      <c r="F270" s="11" t="s">
        <v>106</v>
      </c>
      <c r="G270" s="0" t="n">
        <v>2</v>
      </c>
      <c r="H270" s="0" t="n">
        <v>911.85</v>
      </c>
      <c r="I270" s="11" t="s">
        <v>52</v>
      </c>
      <c r="J270" s="11" t="s">
        <v>89</v>
      </c>
      <c r="K270" s="11" t="s">
        <v>86</v>
      </c>
    </row>
    <row r="271" customFormat="false" ht="15" hidden="false" customHeight="false" outlineLevel="0" collapsed="false">
      <c r="A271" s="0" t="n">
        <v>1185</v>
      </c>
      <c r="B271" s="10" t="n">
        <v>45445</v>
      </c>
      <c r="C271" s="11" t="s">
        <v>268</v>
      </c>
      <c r="D271" s="11" t="s">
        <v>82</v>
      </c>
      <c r="E271" s="11" t="s">
        <v>50</v>
      </c>
      <c r="F271" s="11" t="s">
        <v>51</v>
      </c>
      <c r="G271" s="0" t="n">
        <v>9999</v>
      </c>
      <c r="H271" s="0" t="n">
        <v>1007.09</v>
      </c>
      <c r="I271" s="11" t="s">
        <v>46</v>
      </c>
      <c r="J271" s="11" t="s">
        <v>85</v>
      </c>
      <c r="K271" s="11" t="s">
        <v>47</v>
      </c>
    </row>
    <row r="272" customFormat="false" ht="15" hidden="false" customHeight="false" outlineLevel="0" collapsed="false">
      <c r="A272" s="0" t="n">
        <v>1261</v>
      </c>
      <c r="B272" s="10" t="n">
        <v>45504</v>
      </c>
      <c r="C272" s="11" t="s">
        <v>323</v>
      </c>
      <c r="D272" s="11" t="s">
        <v>43</v>
      </c>
      <c r="E272" s="11" t="s">
        <v>102</v>
      </c>
      <c r="F272" s="11" t="s">
        <v>110</v>
      </c>
      <c r="G272" s="0" t="n">
        <v>2</v>
      </c>
      <c r="H272" s="0" t="n">
        <v>1704.89</v>
      </c>
      <c r="I272" s="11" t="s">
        <v>52</v>
      </c>
      <c r="J272" s="11" t="s">
        <v>122</v>
      </c>
      <c r="K272" s="11" t="s">
        <v>53</v>
      </c>
    </row>
    <row r="273" customFormat="false" ht="15" hidden="false" customHeight="false" outlineLevel="0" collapsed="false">
      <c r="A273" s="0" t="n">
        <v>1249</v>
      </c>
      <c r="C273" s="0" t="s">
        <v>47</v>
      </c>
      <c r="D273" s="0" t="s">
        <v>36</v>
      </c>
      <c r="E273" s="0" t="s">
        <v>102</v>
      </c>
      <c r="F273" s="0" t="s">
        <v>103</v>
      </c>
      <c r="G273" s="0" t="n">
        <v>9</v>
      </c>
      <c r="H273" s="0" t="n">
        <v>2245.62</v>
      </c>
      <c r="I273" s="0" t="s">
        <v>52</v>
      </c>
      <c r="J273" s="0" t="s">
        <v>76</v>
      </c>
      <c r="K273" s="0" t="s">
        <v>86</v>
      </c>
    </row>
    <row r="274" customFormat="false" ht="15" hidden="false" customHeight="false" outlineLevel="0" collapsed="false">
      <c r="A274" s="0" t="n">
        <v>1037</v>
      </c>
      <c r="B274" s="10" t="n">
        <v>45304</v>
      </c>
      <c r="C274" s="11" t="s">
        <v>324</v>
      </c>
      <c r="D274" s="11" t="s">
        <v>112</v>
      </c>
      <c r="E274" s="11" t="s">
        <v>37</v>
      </c>
      <c r="F274" s="11" t="s">
        <v>159</v>
      </c>
      <c r="G274" s="0" t="n">
        <v>-5</v>
      </c>
      <c r="H274" s="0" t="n">
        <v>2595.77</v>
      </c>
      <c r="I274" s="11" t="s">
        <v>75</v>
      </c>
      <c r="J274" s="11" t="s">
        <v>104</v>
      </c>
      <c r="K274" s="11" t="s">
        <v>74</v>
      </c>
    </row>
    <row r="275" customFormat="false" ht="15" hidden="false" customHeight="false" outlineLevel="0" collapsed="false">
      <c r="A275" s="0" t="n">
        <v>1074</v>
      </c>
      <c r="B275" s="10" t="n">
        <v>45593</v>
      </c>
      <c r="C275" s="11" t="s">
        <v>196</v>
      </c>
      <c r="D275" s="11" t="s">
        <v>82</v>
      </c>
      <c r="E275" s="11" t="s">
        <v>102</v>
      </c>
      <c r="F275" s="11" t="s">
        <v>144</v>
      </c>
      <c r="G275" s="0" t="n">
        <v>10</v>
      </c>
      <c r="H275" s="0" t="n">
        <v>2881.12</v>
      </c>
      <c r="I275" s="11" t="s">
        <v>46</v>
      </c>
      <c r="J275" s="11" t="s">
        <v>40</v>
      </c>
      <c r="K275" s="11" t="s">
        <v>58</v>
      </c>
    </row>
    <row r="276" customFormat="false" ht="15" hidden="false" customHeight="false" outlineLevel="0" collapsed="false">
      <c r="A276" s="0" t="n">
        <v>1007</v>
      </c>
      <c r="B276" s="10" t="n">
        <v>45635</v>
      </c>
      <c r="C276" s="11" t="s">
        <v>325</v>
      </c>
      <c r="D276" s="11" t="s">
        <v>65</v>
      </c>
      <c r="E276" s="11" t="s">
        <v>60</v>
      </c>
      <c r="F276" s="11" t="s">
        <v>91</v>
      </c>
      <c r="G276" s="0" t="n">
        <v>10</v>
      </c>
      <c r="H276" s="0" t="n">
        <v>1912.24</v>
      </c>
      <c r="I276" s="11" t="s">
        <v>52</v>
      </c>
      <c r="J276" s="11" t="s">
        <v>69</v>
      </c>
      <c r="K276" s="11" t="s">
        <v>63</v>
      </c>
    </row>
    <row r="277" customFormat="false" ht="15" hidden="false" customHeight="false" outlineLevel="0" collapsed="false">
      <c r="A277" s="0" t="n">
        <v>1151</v>
      </c>
      <c r="B277" s="10" t="n">
        <v>45354</v>
      </c>
      <c r="C277" s="11" t="s">
        <v>205</v>
      </c>
      <c r="D277" s="11" t="s">
        <v>49</v>
      </c>
      <c r="E277" s="11" t="s">
        <v>37</v>
      </c>
      <c r="F277" s="11" t="s">
        <v>93</v>
      </c>
      <c r="G277" s="0" t="n">
        <v>10</v>
      </c>
      <c r="H277" s="0" t="n">
        <v>1382.2</v>
      </c>
      <c r="I277" s="11" t="s">
        <v>46</v>
      </c>
      <c r="J277" s="11" t="s">
        <v>104</v>
      </c>
      <c r="K277" s="11" t="s">
        <v>53</v>
      </c>
    </row>
    <row r="278" customFormat="false" ht="15" hidden="false" customHeight="false" outlineLevel="0" collapsed="false">
      <c r="A278" s="0" t="n">
        <v>1295</v>
      </c>
      <c r="B278" s="10" t="n">
        <v>45617</v>
      </c>
      <c r="C278" s="11" t="s">
        <v>326</v>
      </c>
      <c r="D278" s="11" t="s">
        <v>82</v>
      </c>
      <c r="E278" s="11" t="s">
        <v>66</v>
      </c>
      <c r="F278" s="11" t="s">
        <v>55</v>
      </c>
      <c r="G278" s="0" t="n">
        <v>7</v>
      </c>
      <c r="H278" s="0" t="n">
        <v>2550.04</v>
      </c>
      <c r="I278" s="11" t="s">
        <v>39</v>
      </c>
      <c r="J278" s="11" t="s">
        <v>69</v>
      </c>
      <c r="K278" s="11" t="s">
        <v>58</v>
      </c>
    </row>
    <row r="279" customFormat="false" ht="15" hidden="false" customHeight="false" outlineLevel="0" collapsed="false">
      <c r="A279" s="0" t="n">
        <v>1024</v>
      </c>
      <c r="B279" s="10" t="n">
        <v>45508</v>
      </c>
      <c r="C279" s="11" t="s">
        <v>212</v>
      </c>
      <c r="D279" s="11" t="s">
        <v>77</v>
      </c>
      <c r="E279" s="11" t="s">
        <v>102</v>
      </c>
      <c r="F279" s="11" t="s">
        <v>144</v>
      </c>
      <c r="G279" s="0" t="n">
        <v>3</v>
      </c>
      <c r="H279" s="0" t="n">
        <v>585.9</v>
      </c>
      <c r="I279" s="11" t="s">
        <v>52</v>
      </c>
      <c r="J279" s="11" t="s">
        <v>57</v>
      </c>
      <c r="K279" s="11" t="s">
        <v>53</v>
      </c>
    </row>
    <row r="280" customFormat="false" ht="15" hidden="false" customHeight="false" outlineLevel="0" collapsed="false">
      <c r="A280" s="0" t="n">
        <v>1285</v>
      </c>
      <c r="B280" s="10" t="n">
        <v>45616</v>
      </c>
      <c r="C280" s="11" t="s">
        <v>327</v>
      </c>
      <c r="D280" s="11" t="s">
        <v>49</v>
      </c>
      <c r="E280" s="11" t="s">
        <v>102</v>
      </c>
      <c r="F280" s="11" t="s">
        <v>151</v>
      </c>
      <c r="G280" s="0" t="n">
        <v>4</v>
      </c>
      <c r="I280" s="11" t="s">
        <v>46</v>
      </c>
      <c r="J280" s="11" t="s">
        <v>89</v>
      </c>
      <c r="K280" s="11" t="s">
        <v>41</v>
      </c>
    </row>
    <row r="281" customFormat="false" ht="15" hidden="false" customHeight="false" outlineLevel="0" collapsed="false">
      <c r="A281" s="0" t="n">
        <v>1061</v>
      </c>
      <c r="B281" s="10" t="n">
        <v>45327</v>
      </c>
      <c r="C281" s="11" t="s">
        <v>127</v>
      </c>
      <c r="D281" s="11" t="s">
        <v>112</v>
      </c>
      <c r="E281" s="11" t="s">
        <v>50</v>
      </c>
      <c r="F281" s="11" t="s">
        <v>99</v>
      </c>
      <c r="G281" s="0" t="n">
        <v>0</v>
      </c>
      <c r="H281" s="0" t="n">
        <v>2551.74</v>
      </c>
      <c r="I281" s="11" t="s">
        <v>68</v>
      </c>
      <c r="J281" s="11" t="s">
        <v>115</v>
      </c>
      <c r="K281" s="11" t="s">
        <v>74</v>
      </c>
    </row>
    <row r="282" customFormat="false" ht="15" hidden="false" customHeight="false" outlineLevel="0" collapsed="false">
      <c r="A282" s="0" t="n">
        <v>1079</v>
      </c>
      <c r="B282" s="10" t="n">
        <v>45513</v>
      </c>
      <c r="C282" s="11" t="s">
        <v>160</v>
      </c>
      <c r="D282" s="11" t="s">
        <v>59</v>
      </c>
      <c r="E282" s="11" t="s">
        <v>66</v>
      </c>
      <c r="F282" s="11" t="s">
        <v>78</v>
      </c>
      <c r="G282" s="0" t="n">
        <v>1</v>
      </c>
      <c r="H282" s="11" t="s">
        <v>328</v>
      </c>
      <c r="I282" s="11" t="s">
        <v>46</v>
      </c>
      <c r="J282" s="11" t="s">
        <v>76</v>
      </c>
      <c r="K282" s="11" t="s">
        <v>53</v>
      </c>
    </row>
    <row r="283" customFormat="false" ht="15" hidden="false" customHeight="false" outlineLevel="0" collapsed="false">
      <c r="A283" s="0" t="n">
        <v>1107</v>
      </c>
      <c r="B283" s="10" t="n">
        <v>45542</v>
      </c>
      <c r="C283" s="11" t="s">
        <v>124</v>
      </c>
      <c r="D283" s="11" t="s">
        <v>59</v>
      </c>
      <c r="E283" s="11" t="s">
        <v>50</v>
      </c>
      <c r="F283" s="11" t="s">
        <v>72</v>
      </c>
      <c r="G283" s="0" t="n">
        <v>1</v>
      </c>
      <c r="H283" s="0" t="n">
        <v>2077.04</v>
      </c>
      <c r="I283" s="11" t="s">
        <v>52</v>
      </c>
      <c r="J283" s="11" t="s">
        <v>89</v>
      </c>
      <c r="K283" s="11" t="s">
        <v>63</v>
      </c>
    </row>
    <row r="284" customFormat="false" ht="15" hidden="false" customHeight="false" outlineLevel="0" collapsed="false">
      <c r="A284" s="0" t="n">
        <v>1105</v>
      </c>
      <c r="B284" s="10" t="n">
        <v>45650</v>
      </c>
      <c r="C284" s="11" t="s">
        <v>169</v>
      </c>
      <c r="D284" s="11" t="s">
        <v>49</v>
      </c>
      <c r="E284" s="11" t="s">
        <v>50</v>
      </c>
      <c r="F284" s="11" t="s">
        <v>150</v>
      </c>
      <c r="G284" s="0" t="n">
        <v>2</v>
      </c>
      <c r="H284" s="0" t="n">
        <v>436.54</v>
      </c>
      <c r="I284" s="11" t="s">
        <v>46</v>
      </c>
      <c r="J284" s="11" t="s">
        <v>122</v>
      </c>
      <c r="K284" s="11" t="s">
        <v>63</v>
      </c>
    </row>
    <row r="285" customFormat="false" ht="15" hidden="false" customHeight="false" outlineLevel="0" collapsed="false">
      <c r="A285" s="0" t="n">
        <v>1204</v>
      </c>
      <c r="B285" s="10" t="n">
        <v>45333</v>
      </c>
      <c r="C285" s="11" t="s">
        <v>329</v>
      </c>
      <c r="D285" s="11" t="s">
        <v>112</v>
      </c>
      <c r="E285" s="11" t="s">
        <v>50</v>
      </c>
      <c r="F285" s="11" t="s">
        <v>51</v>
      </c>
      <c r="G285" s="0" t="n">
        <v>2</v>
      </c>
      <c r="H285" s="0" t="n">
        <v>2753.39</v>
      </c>
      <c r="I285" s="11" t="s">
        <v>46</v>
      </c>
      <c r="J285" s="11" t="s">
        <v>62</v>
      </c>
      <c r="K285" s="11" t="s">
        <v>58</v>
      </c>
    </row>
    <row r="286" customFormat="false" ht="15" hidden="false" customHeight="false" outlineLevel="0" collapsed="false">
      <c r="A286" s="0" t="n">
        <v>1220</v>
      </c>
      <c r="B286" s="0" t="s">
        <v>289</v>
      </c>
      <c r="C286" s="0" t="s">
        <v>330</v>
      </c>
      <c r="D286" s="0" t="s">
        <v>65</v>
      </c>
      <c r="E286" s="0" t="s">
        <v>60</v>
      </c>
      <c r="F286" s="0" t="s">
        <v>61</v>
      </c>
      <c r="G286" s="0" t="n">
        <v>8</v>
      </c>
      <c r="H286" s="0" t="n">
        <v>2745.04</v>
      </c>
      <c r="I286" s="0" t="s">
        <v>52</v>
      </c>
      <c r="J286" s="0" t="s">
        <v>76</v>
      </c>
      <c r="K286" s="0" t="s">
        <v>58</v>
      </c>
    </row>
    <row r="287" customFormat="false" ht="15" hidden="false" customHeight="false" outlineLevel="0" collapsed="false">
      <c r="A287" s="0" t="n">
        <v>1103</v>
      </c>
      <c r="B287" s="10" t="n">
        <v>45338</v>
      </c>
      <c r="C287" s="11" t="s">
        <v>331</v>
      </c>
      <c r="D287" s="11" t="s">
        <v>59</v>
      </c>
      <c r="E287" s="11" t="s">
        <v>66</v>
      </c>
      <c r="F287" s="11" t="s">
        <v>55</v>
      </c>
      <c r="G287" s="0" t="n">
        <v>9</v>
      </c>
      <c r="H287" s="0" t="n">
        <v>388.29</v>
      </c>
      <c r="I287" s="11" t="s">
        <v>332</v>
      </c>
      <c r="J287" s="11" t="s">
        <v>73</v>
      </c>
      <c r="K287" s="11" t="s">
        <v>74</v>
      </c>
    </row>
    <row r="288" customFormat="false" ht="15" hidden="false" customHeight="false" outlineLevel="0" collapsed="false">
      <c r="A288" s="0" t="n">
        <v>1240</v>
      </c>
      <c r="C288" s="0" t="s">
        <v>333</v>
      </c>
      <c r="D288" s="0" t="s">
        <v>43</v>
      </c>
      <c r="E288" s="0" t="s">
        <v>50</v>
      </c>
      <c r="F288" s="0" t="s">
        <v>51</v>
      </c>
      <c r="G288" s="0" t="n">
        <v>7</v>
      </c>
      <c r="H288" s="0" t="n">
        <v>525.12</v>
      </c>
      <c r="I288" s="0" t="s">
        <v>39</v>
      </c>
      <c r="J288" s="0" t="s">
        <v>104</v>
      </c>
      <c r="K288" s="0" t="s">
        <v>47</v>
      </c>
    </row>
    <row r="289" customFormat="false" ht="15" hidden="false" customHeight="false" outlineLevel="0" collapsed="false">
      <c r="A289" s="0" t="n">
        <v>1194</v>
      </c>
      <c r="B289" s="10" t="n">
        <v>45533</v>
      </c>
      <c r="C289" s="11" t="s">
        <v>334</v>
      </c>
      <c r="D289" s="11" t="s">
        <v>43</v>
      </c>
      <c r="E289" s="11" t="s">
        <v>102</v>
      </c>
      <c r="F289" s="11" t="s">
        <v>144</v>
      </c>
      <c r="G289" s="0" t="n">
        <v>1</v>
      </c>
      <c r="H289" s="11" t="s">
        <v>335</v>
      </c>
      <c r="I289" s="11" t="s">
        <v>52</v>
      </c>
      <c r="J289" s="11" t="s">
        <v>76</v>
      </c>
    </row>
    <row r="290" customFormat="false" ht="15" hidden="false" customHeight="false" outlineLevel="0" collapsed="false">
      <c r="A290" s="0" t="n">
        <v>1161</v>
      </c>
      <c r="B290" s="10" t="n">
        <v>45606</v>
      </c>
      <c r="C290" s="11" t="s">
        <v>336</v>
      </c>
      <c r="D290" s="11" t="s">
        <v>82</v>
      </c>
      <c r="E290" s="11" t="s">
        <v>50</v>
      </c>
      <c r="F290" s="11" t="s">
        <v>99</v>
      </c>
      <c r="G290" s="0" t="n">
        <v>2</v>
      </c>
      <c r="H290" s="0" t="n">
        <v>2020.13</v>
      </c>
      <c r="I290" s="11" t="s">
        <v>68</v>
      </c>
      <c r="J290" s="11" t="s">
        <v>122</v>
      </c>
      <c r="K290" s="11" t="s">
        <v>80</v>
      </c>
    </row>
    <row r="291" customFormat="false" ht="15" hidden="false" customHeight="false" outlineLevel="0" collapsed="false">
      <c r="A291" s="0" t="n">
        <v>1097</v>
      </c>
      <c r="B291" s="10" t="n">
        <v>45445</v>
      </c>
      <c r="C291" s="11" t="s">
        <v>318</v>
      </c>
      <c r="D291" s="11" t="s">
        <v>59</v>
      </c>
      <c r="E291" s="11" t="s">
        <v>60</v>
      </c>
      <c r="F291" s="11" t="s">
        <v>95</v>
      </c>
      <c r="G291" s="0" t="n">
        <v>8</v>
      </c>
      <c r="H291" s="0" t="n">
        <v>2539.01</v>
      </c>
      <c r="I291" s="11" t="s">
        <v>52</v>
      </c>
      <c r="J291" s="11" t="s">
        <v>85</v>
      </c>
      <c r="K291" s="11" t="s">
        <v>63</v>
      </c>
    </row>
    <row r="292" customFormat="false" ht="15" hidden="false" customHeight="false" outlineLevel="0" collapsed="false">
      <c r="A292" s="0" t="n">
        <v>1131</v>
      </c>
      <c r="B292" s="10" t="n">
        <v>45405</v>
      </c>
      <c r="C292" s="11" t="s">
        <v>157</v>
      </c>
      <c r="D292" s="11" t="s">
        <v>43</v>
      </c>
      <c r="E292" s="11" t="s">
        <v>60</v>
      </c>
      <c r="F292" s="11" t="s">
        <v>61</v>
      </c>
      <c r="G292" s="0" t="n">
        <v>2</v>
      </c>
      <c r="H292" s="0" t="n">
        <v>1541.24</v>
      </c>
      <c r="I292" s="11" t="s">
        <v>46</v>
      </c>
      <c r="J292" s="11" t="s">
        <v>115</v>
      </c>
      <c r="K292" s="11" t="s">
        <v>86</v>
      </c>
    </row>
    <row r="293" customFormat="false" ht="15" hidden="false" customHeight="false" outlineLevel="0" collapsed="false">
      <c r="A293" s="0" t="n">
        <v>1164</v>
      </c>
      <c r="B293" s="10" t="n">
        <v>45624</v>
      </c>
      <c r="C293" s="11" t="s">
        <v>168</v>
      </c>
      <c r="D293" s="11" t="s">
        <v>65</v>
      </c>
      <c r="E293" s="11" t="s">
        <v>102</v>
      </c>
      <c r="F293" s="11" t="s">
        <v>144</v>
      </c>
      <c r="G293" s="0" t="n">
        <v>1</v>
      </c>
      <c r="H293" s="0" t="n">
        <v>2212.31</v>
      </c>
      <c r="I293" s="11" t="s">
        <v>68</v>
      </c>
      <c r="J293" s="11" t="s">
        <v>104</v>
      </c>
      <c r="K293" s="11" t="s">
        <v>41</v>
      </c>
    </row>
    <row r="294" customFormat="false" ht="15" hidden="false" customHeight="false" outlineLevel="0" collapsed="false">
      <c r="A294" s="0" t="n">
        <v>1047</v>
      </c>
      <c r="B294" s="10" t="n">
        <v>45648</v>
      </c>
      <c r="C294" s="11" t="s">
        <v>329</v>
      </c>
      <c r="D294" s="11" t="s">
        <v>82</v>
      </c>
      <c r="E294" s="11" t="s">
        <v>37</v>
      </c>
      <c r="F294" s="11" t="s">
        <v>159</v>
      </c>
      <c r="G294" s="0" t="n">
        <v>-9</v>
      </c>
      <c r="H294" s="0" t="n">
        <v>762.61</v>
      </c>
      <c r="I294" s="11" t="s">
        <v>46</v>
      </c>
      <c r="J294" s="11" t="s">
        <v>122</v>
      </c>
      <c r="K294" s="11" t="s">
        <v>80</v>
      </c>
    </row>
    <row r="295" customFormat="false" ht="15" hidden="false" customHeight="false" outlineLevel="0" collapsed="false">
      <c r="A295" s="0" t="n">
        <v>1077</v>
      </c>
      <c r="B295" s="10" t="n">
        <v>45407</v>
      </c>
      <c r="C295" s="11" t="s">
        <v>337</v>
      </c>
      <c r="D295" s="11" t="s">
        <v>43</v>
      </c>
      <c r="E295" s="11" t="s">
        <v>206</v>
      </c>
      <c r="F295" s="11" t="s">
        <v>189</v>
      </c>
      <c r="G295" s="0" t="n">
        <v>2</v>
      </c>
      <c r="H295" s="0" t="n">
        <v>197.72</v>
      </c>
      <c r="I295" s="11" t="s">
        <v>332</v>
      </c>
      <c r="J295" s="11" t="s">
        <v>122</v>
      </c>
      <c r="K295" s="11" t="s">
        <v>63</v>
      </c>
    </row>
    <row r="296" customFormat="false" ht="15" hidden="false" customHeight="false" outlineLevel="0" collapsed="false">
      <c r="A296" s="0" t="n">
        <v>1063</v>
      </c>
      <c r="B296" s="10" t="n">
        <v>45429</v>
      </c>
      <c r="C296" s="11" t="s">
        <v>243</v>
      </c>
      <c r="D296" s="11" t="s">
        <v>36</v>
      </c>
      <c r="E296" s="11" t="s">
        <v>102</v>
      </c>
      <c r="F296" s="11" t="s">
        <v>151</v>
      </c>
      <c r="G296" s="0" t="n">
        <v>2</v>
      </c>
      <c r="H296" s="11" t="s">
        <v>338</v>
      </c>
      <c r="I296" s="11" t="s">
        <v>68</v>
      </c>
      <c r="J296" s="11" t="s">
        <v>62</v>
      </c>
      <c r="K296" s="11" t="s">
        <v>63</v>
      </c>
    </row>
    <row r="297" customFormat="false" ht="15" hidden="false" customHeight="false" outlineLevel="0" collapsed="false">
      <c r="A297" s="0" t="n">
        <v>1036</v>
      </c>
      <c r="B297" s="10" t="n">
        <v>45487</v>
      </c>
      <c r="C297" s="11" t="s">
        <v>178</v>
      </c>
      <c r="D297" s="11" t="s">
        <v>77</v>
      </c>
      <c r="E297" s="11" t="s">
        <v>37</v>
      </c>
      <c r="F297" s="11" t="s">
        <v>108</v>
      </c>
      <c r="G297" s="0" t="n">
        <v>4</v>
      </c>
      <c r="H297" s="0" t="n">
        <v>614.73</v>
      </c>
      <c r="I297" s="11" t="s">
        <v>68</v>
      </c>
      <c r="J297" s="11" t="s">
        <v>122</v>
      </c>
      <c r="K297" s="11" t="s">
        <v>47</v>
      </c>
    </row>
    <row r="298" customFormat="false" ht="15" hidden="false" customHeight="false" outlineLevel="0" collapsed="false">
      <c r="A298" s="0" t="n">
        <v>1059</v>
      </c>
      <c r="B298" s="10" t="n">
        <v>45347</v>
      </c>
      <c r="C298" s="11" t="s">
        <v>314</v>
      </c>
      <c r="D298" s="11" t="s">
        <v>59</v>
      </c>
      <c r="E298" s="11" t="s">
        <v>37</v>
      </c>
      <c r="F298" s="11" t="s">
        <v>93</v>
      </c>
      <c r="G298" s="0" t="n">
        <v>10</v>
      </c>
      <c r="H298" s="0" t="n">
        <v>2038.49</v>
      </c>
      <c r="I298" s="11" t="s">
        <v>68</v>
      </c>
      <c r="J298" s="11" t="s">
        <v>73</v>
      </c>
      <c r="K298" s="11" t="s">
        <v>58</v>
      </c>
    </row>
    <row r="299" customFormat="false" ht="15" hidden="false" customHeight="false" outlineLevel="0" collapsed="false">
      <c r="A299" s="0" t="n">
        <v>1114</v>
      </c>
      <c r="B299" s="10" t="n">
        <v>45497</v>
      </c>
      <c r="C299" s="11" t="s">
        <v>339</v>
      </c>
      <c r="D299" s="11" t="s">
        <v>65</v>
      </c>
      <c r="E299" s="11" t="s">
        <v>83</v>
      </c>
      <c r="F299" s="11" t="s">
        <v>84</v>
      </c>
      <c r="G299" s="0" t="n">
        <v>8</v>
      </c>
      <c r="H299" s="0" t="n">
        <v>2142.96</v>
      </c>
      <c r="I299" s="11" t="s">
        <v>68</v>
      </c>
      <c r="J299" s="11" t="s">
        <v>40</v>
      </c>
      <c r="K299" s="11" t="s">
        <v>41</v>
      </c>
    </row>
    <row r="300" customFormat="false" ht="15" hidden="false" customHeight="false" outlineLevel="0" collapsed="false">
      <c r="A300" s="0" t="n">
        <v>1201</v>
      </c>
      <c r="B300" s="10" t="n">
        <v>45585</v>
      </c>
      <c r="C300" s="11" t="s">
        <v>340</v>
      </c>
      <c r="D300" s="11" t="s">
        <v>112</v>
      </c>
      <c r="E300" s="11" t="s">
        <v>60</v>
      </c>
      <c r="F300" s="11" t="s">
        <v>95</v>
      </c>
      <c r="G300" s="0" t="n">
        <v>4</v>
      </c>
      <c r="H300" s="0" t="n">
        <v>205.13</v>
      </c>
      <c r="I300" s="11" t="s">
        <v>46</v>
      </c>
      <c r="J300" s="11" t="s">
        <v>73</v>
      </c>
      <c r="K300" s="11" t="s">
        <v>47</v>
      </c>
    </row>
    <row r="301" customFormat="false" ht="15" hidden="false" customHeight="false" outlineLevel="0" collapsed="false">
      <c r="A301" s="0" t="n">
        <v>1209</v>
      </c>
      <c r="B301" s="10" t="n">
        <v>45641</v>
      </c>
      <c r="C301" s="11" t="s">
        <v>274</v>
      </c>
      <c r="D301" s="11" t="s">
        <v>112</v>
      </c>
      <c r="E301" s="11" t="s">
        <v>102</v>
      </c>
      <c r="F301" s="11" t="s">
        <v>103</v>
      </c>
      <c r="G301" s="0" t="n">
        <v>2</v>
      </c>
      <c r="H301" s="11" t="s">
        <v>341</v>
      </c>
      <c r="I301" s="11" t="s">
        <v>68</v>
      </c>
      <c r="J301" s="11" t="s">
        <v>79</v>
      </c>
      <c r="K301" s="11" t="s">
        <v>58</v>
      </c>
    </row>
    <row r="302" customFormat="false" ht="15" hidden="false" customHeight="false" outlineLevel="0" collapsed="false">
      <c r="A302" s="0" t="n">
        <v>1264</v>
      </c>
      <c r="B302" s="0" t="s">
        <v>342</v>
      </c>
      <c r="C302" s="0" t="s">
        <v>343</v>
      </c>
      <c r="D302" s="0" t="s">
        <v>65</v>
      </c>
      <c r="E302" s="0" t="s">
        <v>60</v>
      </c>
      <c r="F302" s="0" t="s">
        <v>106</v>
      </c>
      <c r="G302" s="0" t="n">
        <v>8</v>
      </c>
      <c r="H302" s="0" t="n">
        <v>2598.57</v>
      </c>
      <c r="I302" s="0" t="s">
        <v>46</v>
      </c>
      <c r="J302" s="0" t="s">
        <v>57</v>
      </c>
      <c r="K302" s="0" t="s">
        <v>58</v>
      </c>
    </row>
    <row r="303" customFormat="false" ht="15" hidden="false" customHeight="false" outlineLevel="0" collapsed="false">
      <c r="A303" s="0" t="n">
        <v>1207</v>
      </c>
      <c r="B303" s="10" t="n">
        <v>45293</v>
      </c>
      <c r="C303" s="11" t="s">
        <v>344</v>
      </c>
      <c r="D303" s="11" t="s">
        <v>65</v>
      </c>
      <c r="E303" s="11" t="s">
        <v>102</v>
      </c>
      <c r="F303" s="11" t="s">
        <v>144</v>
      </c>
      <c r="G303" s="0" t="n">
        <v>1</v>
      </c>
      <c r="H303" s="0" t="n">
        <v>1282.62</v>
      </c>
      <c r="I303" s="11" t="s">
        <v>46</v>
      </c>
      <c r="J303" s="11" t="s">
        <v>57</v>
      </c>
      <c r="K303" s="11" t="s">
        <v>41</v>
      </c>
    </row>
    <row r="304" customFormat="false" ht="15" hidden="false" customHeight="false" outlineLevel="0" collapsed="false">
      <c r="A304" s="0" t="n">
        <v>1259</v>
      </c>
      <c r="B304" s="10" t="n">
        <v>45508</v>
      </c>
      <c r="C304" s="11" t="s">
        <v>182</v>
      </c>
      <c r="D304" s="11" t="s">
        <v>43</v>
      </c>
      <c r="E304" s="11" t="s">
        <v>66</v>
      </c>
      <c r="F304" s="11" t="s">
        <v>45</v>
      </c>
      <c r="G304" s="0" t="n">
        <v>9</v>
      </c>
      <c r="H304" s="0" t="n">
        <v>517.26</v>
      </c>
      <c r="I304" s="11" t="s">
        <v>39</v>
      </c>
      <c r="J304" s="11" t="s">
        <v>62</v>
      </c>
    </row>
    <row r="305" customFormat="false" ht="15" hidden="false" customHeight="false" outlineLevel="0" collapsed="false">
      <c r="A305" s="0" t="n">
        <v>1300</v>
      </c>
      <c r="B305" s="10" t="n">
        <v>45398</v>
      </c>
      <c r="C305" s="11" t="s">
        <v>203</v>
      </c>
      <c r="D305" s="11" t="s">
        <v>77</v>
      </c>
      <c r="E305" s="11" t="s">
        <v>66</v>
      </c>
      <c r="F305" s="11" t="s">
        <v>55</v>
      </c>
      <c r="G305" s="0" t="n">
        <v>5</v>
      </c>
      <c r="H305" s="0" t="n">
        <v>2560.4</v>
      </c>
      <c r="I305" s="11" t="s">
        <v>46</v>
      </c>
      <c r="J305" s="11" t="s">
        <v>62</v>
      </c>
      <c r="K305" s="11" t="s">
        <v>47</v>
      </c>
    </row>
    <row r="306" customFormat="false" ht="15" hidden="false" customHeight="false" outlineLevel="0" collapsed="false">
      <c r="A306" s="0" t="n">
        <v>1030</v>
      </c>
      <c r="B306" s="10" t="n">
        <v>45445</v>
      </c>
      <c r="C306" s="11" t="s">
        <v>311</v>
      </c>
      <c r="D306" s="11" t="s">
        <v>59</v>
      </c>
      <c r="E306" s="11" t="s">
        <v>50</v>
      </c>
      <c r="F306" s="11" t="s">
        <v>51</v>
      </c>
      <c r="G306" s="0" t="n">
        <v>2</v>
      </c>
      <c r="H306" s="0" t="n">
        <v>2671.34</v>
      </c>
      <c r="I306" s="11" t="s">
        <v>345</v>
      </c>
      <c r="J306" s="11" t="s">
        <v>122</v>
      </c>
      <c r="K306" s="11" t="s">
        <v>47</v>
      </c>
    </row>
    <row r="307" customFormat="false" ht="15" hidden="false" customHeight="false" outlineLevel="0" collapsed="false">
      <c r="A307" s="0" t="n">
        <v>1269</v>
      </c>
      <c r="B307" s="10" t="n">
        <v>45498</v>
      </c>
      <c r="C307" s="11" t="s">
        <v>346</v>
      </c>
      <c r="D307" s="11" t="s">
        <v>59</v>
      </c>
      <c r="E307" s="11" t="s">
        <v>83</v>
      </c>
      <c r="F307" s="11" t="s">
        <v>146</v>
      </c>
      <c r="G307" s="0" t="n">
        <v>6</v>
      </c>
      <c r="H307" s="0" t="n">
        <v>1374.99</v>
      </c>
      <c r="I307" s="11" t="s">
        <v>68</v>
      </c>
      <c r="J307" s="11" t="s">
        <v>122</v>
      </c>
      <c r="K307" s="11" t="s">
        <v>53</v>
      </c>
    </row>
    <row r="308" customFormat="false" ht="15" hidden="false" customHeight="false" outlineLevel="0" collapsed="false">
      <c r="A308" s="0" t="n">
        <v>1046</v>
      </c>
      <c r="B308" s="10" t="n">
        <v>45391</v>
      </c>
      <c r="C308" s="11" t="s">
        <v>283</v>
      </c>
      <c r="D308" s="11" t="s">
        <v>49</v>
      </c>
      <c r="E308" s="11" t="s">
        <v>50</v>
      </c>
      <c r="F308" s="11" t="s">
        <v>51</v>
      </c>
      <c r="G308" s="0" t="n">
        <v>4</v>
      </c>
      <c r="H308" s="0" t="n">
        <v>459.76</v>
      </c>
      <c r="I308" s="11" t="s">
        <v>46</v>
      </c>
      <c r="J308" s="11" t="s">
        <v>57</v>
      </c>
      <c r="K308" s="11" t="s">
        <v>74</v>
      </c>
    </row>
    <row r="309" customFormat="false" ht="15" hidden="false" customHeight="false" outlineLevel="0" collapsed="false">
      <c r="A309" s="0" t="n">
        <v>1108</v>
      </c>
      <c r="B309" s="0" t="s">
        <v>183</v>
      </c>
      <c r="C309" s="0" t="s">
        <v>347</v>
      </c>
      <c r="D309" s="0" t="s">
        <v>112</v>
      </c>
      <c r="E309" s="0" t="s">
        <v>37</v>
      </c>
      <c r="F309" s="0" t="s">
        <v>93</v>
      </c>
      <c r="G309" s="0" t="n">
        <v>1</v>
      </c>
      <c r="H309" s="0" t="n">
        <v>1206.46</v>
      </c>
      <c r="I309" s="0" t="s">
        <v>52</v>
      </c>
      <c r="J309" s="0" t="s">
        <v>115</v>
      </c>
      <c r="K309" s="0" t="s">
        <v>63</v>
      </c>
    </row>
    <row r="310" customFormat="false" ht="15" hidden="false" customHeight="false" outlineLevel="0" collapsed="false">
      <c r="A310" s="0" t="n">
        <v>1145</v>
      </c>
      <c r="B310" s="10" t="n">
        <v>45517</v>
      </c>
      <c r="C310" s="11" t="s">
        <v>211</v>
      </c>
      <c r="D310" s="11" t="s">
        <v>90</v>
      </c>
      <c r="E310" s="11" t="s">
        <v>50</v>
      </c>
      <c r="F310" s="11" t="s">
        <v>51</v>
      </c>
      <c r="G310" s="0" t="n">
        <v>7</v>
      </c>
      <c r="J310" s="11" t="s">
        <v>69</v>
      </c>
      <c r="K310" s="11" t="s">
        <v>58</v>
      </c>
    </row>
    <row r="311" customFormat="false" ht="15" hidden="false" customHeight="false" outlineLevel="0" collapsed="false">
      <c r="A311" s="0" t="n">
        <v>1015</v>
      </c>
      <c r="B311" s="10" t="n">
        <v>45349</v>
      </c>
      <c r="C311" s="11" t="s">
        <v>48</v>
      </c>
      <c r="D311" s="11" t="s">
        <v>59</v>
      </c>
      <c r="E311" s="11" t="s">
        <v>102</v>
      </c>
      <c r="F311" s="11" t="s">
        <v>103</v>
      </c>
      <c r="G311" s="0" t="n">
        <v>4</v>
      </c>
      <c r="H311" s="0" t="n">
        <v>192.62</v>
      </c>
      <c r="I311" s="11" t="s">
        <v>46</v>
      </c>
      <c r="J311" s="11" t="s">
        <v>69</v>
      </c>
      <c r="K311" s="11" t="s">
        <v>63</v>
      </c>
    </row>
    <row r="312" customFormat="false" ht="15" hidden="false" customHeight="false" outlineLevel="0" collapsed="false">
      <c r="A312" s="0" t="n">
        <v>1033</v>
      </c>
      <c r="B312" s="10" t="n">
        <v>45645</v>
      </c>
      <c r="C312" s="11" t="s">
        <v>348</v>
      </c>
      <c r="D312" s="11" t="s">
        <v>82</v>
      </c>
      <c r="E312" s="11" t="s">
        <v>83</v>
      </c>
      <c r="F312" s="11" t="s">
        <v>146</v>
      </c>
      <c r="G312" s="0" t="n">
        <v>6</v>
      </c>
      <c r="H312" s="0" t="n">
        <v>1755.88</v>
      </c>
      <c r="I312" s="11" t="s">
        <v>52</v>
      </c>
      <c r="J312" s="11" t="s">
        <v>104</v>
      </c>
      <c r="K312" s="11" t="s">
        <v>80</v>
      </c>
    </row>
    <row r="313" customFormat="false" ht="15" hidden="false" customHeight="false" outlineLevel="0" collapsed="false">
      <c r="A313" s="0" t="n">
        <v>1182</v>
      </c>
      <c r="B313" s="10" t="n">
        <v>45611</v>
      </c>
      <c r="C313" s="11" t="s">
        <v>349</v>
      </c>
      <c r="D313" s="11" t="s">
        <v>43</v>
      </c>
      <c r="E313" s="11" t="s">
        <v>66</v>
      </c>
      <c r="F313" s="11" t="s">
        <v>55</v>
      </c>
      <c r="G313" s="0" t="n">
        <v>2</v>
      </c>
      <c r="H313" s="0" t="n">
        <v>1193.83</v>
      </c>
      <c r="I313" s="11" t="s">
        <v>39</v>
      </c>
      <c r="J313" s="11" t="s">
        <v>76</v>
      </c>
      <c r="K313" s="11" t="s">
        <v>80</v>
      </c>
    </row>
    <row r="314" customFormat="false" ht="15" hidden="false" customHeight="false" outlineLevel="0" collapsed="false">
      <c r="A314" s="0" t="n">
        <v>1016</v>
      </c>
      <c r="B314" s="10" t="n">
        <v>45356</v>
      </c>
      <c r="C314" s="11" t="s">
        <v>185</v>
      </c>
      <c r="E314" s="11" t="s">
        <v>83</v>
      </c>
      <c r="F314" s="11" t="s">
        <v>189</v>
      </c>
      <c r="G314" s="0" t="n">
        <v>9</v>
      </c>
      <c r="H314" s="11" t="s">
        <v>350</v>
      </c>
      <c r="I314" s="11" t="s">
        <v>68</v>
      </c>
      <c r="J314" s="11" t="s">
        <v>115</v>
      </c>
      <c r="K314" s="11" t="s">
        <v>58</v>
      </c>
    </row>
    <row r="315" customFormat="false" ht="15" hidden="false" customHeight="false" outlineLevel="0" collapsed="false">
      <c r="A315" s="0" t="n">
        <v>1193</v>
      </c>
      <c r="B315" s="10" t="n">
        <v>45592</v>
      </c>
      <c r="C315" s="11" t="s">
        <v>351</v>
      </c>
      <c r="D315" s="11" t="s">
        <v>82</v>
      </c>
      <c r="E315" s="11" t="s">
        <v>83</v>
      </c>
      <c r="F315" s="11" t="s">
        <v>189</v>
      </c>
      <c r="G315" s="0" t="n">
        <v>9</v>
      </c>
      <c r="H315" s="0" t="n">
        <v>692.5</v>
      </c>
      <c r="I315" s="11" t="s">
        <v>163</v>
      </c>
      <c r="J315" s="11" t="s">
        <v>69</v>
      </c>
      <c r="K315" s="11" t="s">
        <v>41</v>
      </c>
    </row>
    <row r="316" customFormat="false" ht="15" hidden="false" customHeight="false" outlineLevel="0" collapsed="false">
      <c r="A316" s="0" t="n">
        <v>1012</v>
      </c>
      <c r="B316" s="10" t="n">
        <v>45597</v>
      </c>
      <c r="C316" s="11" t="s">
        <v>294</v>
      </c>
      <c r="D316" s="11" t="s">
        <v>59</v>
      </c>
      <c r="E316" s="11" t="s">
        <v>102</v>
      </c>
      <c r="F316" s="11" t="s">
        <v>110</v>
      </c>
      <c r="G316" s="0" t="n">
        <v>9</v>
      </c>
      <c r="H316" s="0" t="n">
        <v>2585.12</v>
      </c>
      <c r="I316" s="11" t="s">
        <v>46</v>
      </c>
      <c r="J316" s="11" t="s">
        <v>57</v>
      </c>
      <c r="K316" s="11" t="s">
        <v>47</v>
      </c>
    </row>
    <row r="317" customFormat="false" ht="15" hidden="false" customHeight="false" outlineLevel="0" collapsed="false">
      <c r="A317" s="0" t="n">
        <v>1222</v>
      </c>
      <c r="B317" s="10" t="n">
        <v>45455</v>
      </c>
      <c r="C317" s="11" t="s">
        <v>352</v>
      </c>
      <c r="D317" s="11" t="s">
        <v>112</v>
      </c>
      <c r="E317" s="11" t="s">
        <v>50</v>
      </c>
      <c r="F317" s="11" t="s">
        <v>150</v>
      </c>
      <c r="G317" s="0" t="n">
        <v>7</v>
      </c>
      <c r="H317" s="0" t="n">
        <v>156.23</v>
      </c>
      <c r="I317" s="11" t="s">
        <v>52</v>
      </c>
      <c r="J317" s="11" t="s">
        <v>115</v>
      </c>
      <c r="K317" s="11" t="s">
        <v>53</v>
      </c>
    </row>
    <row r="318" customFormat="false" ht="15" hidden="false" customHeight="false" outlineLevel="0" collapsed="false">
      <c r="A318" s="0" t="n">
        <v>1238</v>
      </c>
      <c r="B318" s="10" t="n">
        <v>45476</v>
      </c>
      <c r="C318" s="11" t="s">
        <v>41</v>
      </c>
      <c r="D318" s="11" t="s">
        <v>43</v>
      </c>
      <c r="E318" s="11" t="s">
        <v>60</v>
      </c>
      <c r="F318" s="11" t="s">
        <v>117</v>
      </c>
      <c r="G318" s="0" t="n">
        <v>2</v>
      </c>
      <c r="H318" s="0" t="n">
        <v>578.43</v>
      </c>
      <c r="I318" s="11" t="s">
        <v>68</v>
      </c>
      <c r="J318" s="11" t="s">
        <v>89</v>
      </c>
      <c r="K318" s="11" t="s">
        <v>41</v>
      </c>
    </row>
    <row r="319" customFormat="false" ht="15" hidden="false" customHeight="false" outlineLevel="0" collapsed="false">
      <c r="A319" s="0" t="n">
        <v>1296</v>
      </c>
      <c r="B319" s="10" t="n">
        <v>45506</v>
      </c>
      <c r="C319" s="11" t="s">
        <v>353</v>
      </c>
      <c r="D319" s="11" t="s">
        <v>43</v>
      </c>
      <c r="E319" s="11" t="s">
        <v>66</v>
      </c>
      <c r="F319" s="11" t="s">
        <v>88</v>
      </c>
      <c r="G319" s="0" t="n">
        <v>5</v>
      </c>
      <c r="H319" s="0" t="n">
        <v>297.22</v>
      </c>
      <c r="I319" s="11" t="s">
        <v>52</v>
      </c>
      <c r="J319" s="11" t="s">
        <v>85</v>
      </c>
      <c r="K319" s="11" t="s">
        <v>86</v>
      </c>
    </row>
    <row r="320" customFormat="false" ht="15" hidden="false" customHeight="false" outlineLevel="0" collapsed="false">
      <c r="A320" s="0" t="n">
        <v>1271</v>
      </c>
      <c r="B320" s="10" t="n">
        <v>45437</v>
      </c>
      <c r="C320" s="11" t="s">
        <v>354</v>
      </c>
      <c r="D320" s="11" t="s">
        <v>43</v>
      </c>
      <c r="E320" s="11" t="s">
        <v>60</v>
      </c>
      <c r="F320" s="11" t="s">
        <v>61</v>
      </c>
      <c r="G320" s="0" t="n">
        <v>10</v>
      </c>
      <c r="H320" s="0" t="n">
        <v>2560.22</v>
      </c>
      <c r="I320" s="11" t="s">
        <v>39</v>
      </c>
      <c r="J320" s="11" t="s">
        <v>79</v>
      </c>
      <c r="K320" s="11" t="s">
        <v>53</v>
      </c>
    </row>
    <row r="321" customFormat="false" ht="15" hidden="false" customHeight="false" outlineLevel="0" collapsed="false">
      <c r="A321" s="0" t="n">
        <v>1096</v>
      </c>
      <c r="B321" s="10" t="n">
        <v>45527</v>
      </c>
      <c r="C321" s="11" t="s">
        <v>126</v>
      </c>
      <c r="D321" s="11" t="s">
        <v>355</v>
      </c>
      <c r="E321" s="11" t="s">
        <v>50</v>
      </c>
      <c r="F321" s="11" t="s">
        <v>99</v>
      </c>
      <c r="G321" s="0" t="n">
        <v>8</v>
      </c>
      <c r="H321" s="0" t="n">
        <v>2705.6</v>
      </c>
      <c r="I321" s="11" t="s">
        <v>52</v>
      </c>
      <c r="J321" s="11" t="s">
        <v>62</v>
      </c>
      <c r="K321" s="11" t="s">
        <v>63</v>
      </c>
    </row>
    <row r="322" customFormat="false" ht="15" hidden="false" customHeight="false" outlineLevel="0" collapsed="false">
      <c r="A322" s="0" t="n">
        <v>1255</v>
      </c>
      <c r="B322" s="10" t="n">
        <v>45652</v>
      </c>
      <c r="C322" s="11" t="s">
        <v>330</v>
      </c>
      <c r="D322" s="11" t="s">
        <v>59</v>
      </c>
      <c r="E322" s="11" t="s">
        <v>102</v>
      </c>
      <c r="F322" s="11" t="s">
        <v>103</v>
      </c>
      <c r="G322" s="0" t="n">
        <v>2</v>
      </c>
      <c r="H322" s="0" t="n">
        <v>1740.5</v>
      </c>
      <c r="I322" s="11" t="s">
        <v>52</v>
      </c>
      <c r="J322" s="11" t="s">
        <v>85</v>
      </c>
      <c r="K322" s="11" t="s">
        <v>86</v>
      </c>
    </row>
    <row r="323" customFormat="false" ht="15" hidden="false" customHeight="false" outlineLevel="0" collapsed="false">
      <c r="A323" s="0" t="n">
        <v>1267</v>
      </c>
      <c r="B323" s="10" t="n">
        <v>45361</v>
      </c>
      <c r="C323" s="11" t="s">
        <v>130</v>
      </c>
      <c r="D323" s="11" t="s">
        <v>59</v>
      </c>
      <c r="E323" s="11" t="s">
        <v>66</v>
      </c>
      <c r="F323" s="11" t="s">
        <v>78</v>
      </c>
      <c r="G323" s="0" t="n">
        <v>3</v>
      </c>
      <c r="H323" s="0" t="n">
        <v>2110.25</v>
      </c>
      <c r="I323" s="11" t="s">
        <v>52</v>
      </c>
      <c r="J323" s="11" t="s">
        <v>115</v>
      </c>
      <c r="K323" s="11" t="s">
        <v>80</v>
      </c>
    </row>
    <row r="324" customFormat="false" ht="15" hidden="false" customHeight="false" outlineLevel="0" collapsed="false">
      <c r="A324" s="0" t="n">
        <v>1137</v>
      </c>
      <c r="B324" s="10" t="n">
        <v>45657</v>
      </c>
      <c r="C324" s="11" t="s">
        <v>356</v>
      </c>
      <c r="D324" s="11" t="s">
        <v>43</v>
      </c>
      <c r="E324" s="11" t="s">
        <v>83</v>
      </c>
      <c r="F324" s="11" t="s">
        <v>164</v>
      </c>
      <c r="G324" s="0" t="n">
        <v>1</v>
      </c>
      <c r="H324" s="0" t="n">
        <v>758.28</v>
      </c>
      <c r="I324" s="11" t="s">
        <v>68</v>
      </c>
      <c r="J324" s="11" t="s">
        <v>89</v>
      </c>
      <c r="K324" s="11" t="s">
        <v>80</v>
      </c>
    </row>
    <row r="325" customFormat="false" ht="15" hidden="false" customHeight="false" outlineLevel="0" collapsed="false">
      <c r="A325" s="0" t="n">
        <v>1292</v>
      </c>
      <c r="B325" s="10" t="n">
        <v>45556</v>
      </c>
      <c r="C325" s="11" t="s">
        <v>357</v>
      </c>
      <c r="D325" s="11" t="s">
        <v>65</v>
      </c>
      <c r="E325" s="11" t="s">
        <v>37</v>
      </c>
      <c r="F325" s="11" t="s">
        <v>159</v>
      </c>
      <c r="G325" s="0" t="n">
        <v>8</v>
      </c>
      <c r="H325" s="0" t="n">
        <v>2600.78</v>
      </c>
      <c r="I325" s="11" t="s">
        <v>39</v>
      </c>
      <c r="J325" s="11" t="s">
        <v>104</v>
      </c>
      <c r="K325" s="11" t="s">
        <v>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s>
  <sheetData>
    <row r="1" customFormat="false" ht="29.85" hidden="false" customHeight="false" outlineLevel="0" collapsed="false">
      <c r="A1" s="12" t="s">
        <v>359</v>
      </c>
      <c r="B1" s="12"/>
      <c r="C1" s="12"/>
    </row>
    <row r="2" customFormat="false" ht="15" hidden="false" customHeight="false" outlineLevel="0" collapsed="false">
      <c r="A2" s="13"/>
      <c r="B2" s="13"/>
      <c r="C2" s="13"/>
    </row>
    <row r="3" customFormat="false" ht="23.85" hidden="false" customHeight="false" outlineLevel="0" collapsed="false">
      <c r="A3" s="13" t="s">
        <v>360</v>
      </c>
      <c r="B3" s="13" t="s">
        <v>361</v>
      </c>
      <c r="C3" s="13"/>
    </row>
    <row r="4" customFormat="false" ht="15" hidden="false" customHeight="false" outlineLevel="0" collapsed="false">
      <c r="A4" s="13" t="s">
        <v>362</v>
      </c>
      <c r="B4" s="13" t="s">
        <v>363</v>
      </c>
      <c r="C4" s="13"/>
    </row>
    <row r="5" customFormat="false" ht="15" hidden="false" customHeight="false" outlineLevel="0" collapsed="false">
      <c r="A5" s="13" t="s">
        <v>364</v>
      </c>
      <c r="B5" s="13" t="n">
        <v>324</v>
      </c>
      <c r="C5" s="13"/>
    </row>
    <row r="6" customFormat="false" ht="15" hidden="false" customHeight="false" outlineLevel="0" collapsed="false">
      <c r="A6" s="13" t="s">
        <v>365</v>
      </c>
      <c r="B6" s="13" t="s">
        <v>366</v>
      </c>
      <c r="C6" s="13"/>
    </row>
    <row r="7" customFormat="false" ht="46.25" hidden="false" customHeight="false" outlineLevel="0" collapsed="false">
      <c r="A7" s="13" t="s">
        <v>367</v>
      </c>
      <c r="B7" s="13" t="s">
        <v>368</v>
      </c>
      <c r="C7" s="13"/>
    </row>
    <row r="8" customFormat="false" ht="15" hidden="false" customHeight="false" outlineLevel="0" collapsed="false">
      <c r="A8" s="13"/>
      <c r="B8" s="13"/>
      <c r="C8" s="13"/>
    </row>
    <row r="9" customFormat="false" ht="15" hidden="false" customHeight="false" outlineLevel="0" collapsed="false">
      <c r="A9" s="13"/>
      <c r="B9" s="13"/>
      <c r="C9" s="13"/>
    </row>
    <row r="10" customFormat="false" ht="15" hidden="false" customHeight="false" outlineLevel="0" collapsed="false">
      <c r="A10" s="13"/>
      <c r="B10" s="13"/>
      <c r="C10" s="13"/>
    </row>
    <row r="11" customFormat="false" ht="15" hidden="false" customHeight="false" outlineLevel="0" collapsed="false">
      <c r="A11" s="13" t="s">
        <v>369</v>
      </c>
      <c r="B11" s="13"/>
      <c r="C11" s="13"/>
    </row>
    <row r="12" customFormat="false" ht="23.85" hidden="false" customHeight="false" outlineLevel="0" collapsed="false">
      <c r="A12" s="13" t="s">
        <v>370</v>
      </c>
      <c r="B12" s="13" t="s">
        <v>371</v>
      </c>
      <c r="C12" s="13" t="s">
        <v>372</v>
      </c>
    </row>
    <row r="13" customFormat="false" ht="79.85" hidden="false" customHeight="false" outlineLevel="0" collapsed="false">
      <c r="A13" s="13" t="s">
        <v>24</v>
      </c>
      <c r="B13" s="13" t="s">
        <v>373</v>
      </c>
      <c r="C13" s="13" t="s">
        <v>374</v>
      </c>
    </row>
    <row r="14" customFormat="false" ht="46.25" hidden="false" customHeight="false" outlineLevel="0" collapsed="false">
      <c r="A14" s="13" t="s">
        <v>25</v>
      </c>
      <c r="B14" s="13" t="s">
        <v>375</v>
      </c>
      <c r="C14" s="13" t="s">
        <v>376</v>
      </c>
    </row>
    <row r="15" customFormat="false" ht="68.65" hidden="false" customHeight="false" outlineLevel="0" collapsed="false">
      <c r="A15" s="13" t="s">
        <v>26</v>
      </c>
      <c r="B15" s="13" t="s">
        <v>377</v>
      </c>
      <c r="C15" s="13" t="s">
        <v>378</v>
      </c>
    </row>
    <row r="16" customFormat="false" ht="46.25" hidden="false" customHeight="false" outlineLevel="0" collapsed="false">
      <c r="A16" s="13" t="s">
        <v>27</v>
      </c>
      <c r="B16" s="13" t="s">
        <v>379</v>
      </c>
      <c r="C16" s="13" t="s">
        <v>380</v>
      </c>
    </row>
    <row r="17" customFormat="false" ht="68.65" hidden="false" customHeight="false" outlineLevel="0" collapsed="false">
      <c r="A17" s="13" t="s">
        <v>28</v>
      </c>
      <c r="B17" s="13" t="s">
        <v>379</v>
      </c>
      <c r="C17" s="13" t="s">
        <v>381</v>
      </c>
    </row>
    <row r="18" customFormat="false" ht="68.65" hidden="false" customHeight="false" outlineLevel="0" collapsed="false">
      <c r="A18" s="13" t="s">
        <v>29</v>
      </c>
      <c r="B18" s="13" t="s">
        <v>377</v>
      </c>
      <c r="C18" s="13" t="s">
        <v>382</v>
      </c>
    </row>
    <row r="19" customFormat="false" ht="57.45" hidden="false" customHeight="false" outlineLevel="0" collapsed="false">
      <c r="A19" s="13" t="s">
        <v>30</v>
      </c>
      <c r="B19" s="13" t="s">
        <v>373</v>
      </c>
      <c r="C19" s="13" t="s">
        <v>383</v>
      </c>
    </row>
    <row r="20" customFormat="false" ht="57.45" hidden="false" customHeight="false" outlineLevel="0" collapsed="false">
      <c r="A20" s="13" t="s">
        <v>31</v>
      </c>
      <c r="B20" s="13" t="s">
        <v>373</v>
      </c>
      <c r="C20" s="13" t="s">
        <v>384</v>
      </c>
    </row>
    <row r="21" customFormat="false" ht="46.25" hidden="false" customHeight="false" outlineLevel="0" collapsed="false">
      <c r="A21" s="13" t="s">
        <v>32</v>
      </c>
      <c r="B21" s="13" t="s">
        <v>379</v>
      </c>
      <c r="C21" s="13" t="s">
        <v>385</v>
      </c>
    </row>
    <row r="22" customFormat="false" ht="68.65" hidden="false" customHeight="false" outlineLevel="0" collapsed="false">
      <c r="A22" s="13" t="s">
        <v>33</v>
      </c>
      <c r="B22" s="13" t="s">
        <v>386</v>
      </c>
      <c r="C22" s="13" t="s">
        <v>387</v>
      </c>
    </row>
    <row r="23" customFormat="false" ht="79.85" hidden="false" customHeight="false" outlineLevel="0" collapsed="false">
      <c r="A23" s="13" t="s">
        <v>34</v>
      </c>
      <c r="B23" s="13" t="s">
        <v>377</v>
      </c>
      <c r="C23" s="13" t="s">
        <v>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18"/>
    <col collapsed="false" customWidth="true" hidden="false" outlineLevel="0" max="4" min="4" style="0" width="46"/>
    <col collapsed="false" customWidth="true" hidden="false" outlineLevel="0" max="5" min="5" style="0" width="56"/>
  </cols>
  <sheetData>
    <row r="1" customFormat="false" ht="19.7" hidden="false" customHeight="false" outlineLevel="0" collapsed="false">
      <c r="A1" s="4" t="s">
        <v>389</v>
      </c>
      <c r="B1" s="4"/>
      <c r="C1" s="4"/>
      <c r="D1" s="4"/>
      <c r="E1" s="4"/>
    </row>
    <row r="2" customFormat="false" ht="15" hidden="false" customHeight="false" outlineLevel="0" collapsed="false">
      <c r="A2" s="2" t="s">
        <v>390</v>
      </c>
      <c r="B2" s="2"/>
      <c r="C2" s="2"/>
      <c r="D2" s="2"/>
      <c r="E2" s="2"/>
    </row>
    <row r="4" customFormat="false" ht="18" hidden="false" customHeight="true" outlineLevel="0" collapsed="false">
      <c r="A4" s="14" t="s">
        <v>391</v>
      </c>
      <c r="B4" s="14" t="s">
        <v>392</v>
      </c>
      <c r="C4" s="14" t="s">
        <v>393</v>
      </c>
      <c r="D4" s="14" t="s">
        <v>394</v>
      </c>
      <c r="E4" s="14" t="s">
        <v>395</v>
      </c>
    </row>
    <row r="5" customFormat="false" ht="48" hidden="false" customHeight="true" outlineLevel="0" collapsed="false">
      <c r="A5" s="15" t="n">
        <v>1</v>
      </c>
      <c r="B5" s="15" t="s">
        <v>396</v>
      </c>
      <c r="C5" s="15" t="s">
        <v>397</v>
      </c>
      <c r="D5" s="15" t="s">
        <v>398</v>
      </c>
      <c r="E5" s="15" t="s">
        <v>399</v>
      </c>
    </row>
    <row r="6" customFormat="false" ht="48" hidden="false" customHeight="true" outlineLevel="0" collapsed="false">
      <c r="A6" s="15" t="n">
        <v>2</v>
      </c>
      <c r="B6" s="15" t="s">
        <v>400</v>
      </c>
      <c r="C6" s="15" t="s">
        <v>25</v>
      </c>
      <c r="D6" s="15" t="s">
        <v>401</v>
      </c>
      <c r="E6" s="15" t="s">
        <v>402</v>
      </c>
    </row>
    <row r="7" customFormat="false" ht="48" hidden="false" customHeight="true" outlineLevel="0" collapsed="false">
      <c r="A7" s="15" t="n">
        <v>3</v>
      </c>
      <c r="B7" s="15" t="s">
        <v>400</v>
      </c>
      <c r="C7" s="15" t="s">
        <v>25</v>
      </c>
      <c r="D7" s="15" t="s">
        <v>403</v>
      </c>
      <c r="E7" s="15" t="s">
        <v>404</v>
      </c>
    </row>
    <row r="8" customFormat="false" ht="48" hidden="false" customHeight="true" outlineLevel="0" collapsed="false">
      <c r="A8" s="15" t="n">
        <v>4</v>
      </c>
      <c r="B8" s="15" t="s">
        <v>405</v>
      </c>
      <c r="C8" s="15" t="s">
        <v>406</v>
      </c>
      <c r="D8" s="15" t="s">
        <v>407</v>
      </c>
      <c r="E8" s="15" t="s">
        <v>408</v>
      </c>
    </row>
    <row r="9" customFormat="false" ht="48" hidden="false" customHeight="true" outlineLevel="0" collapsed="false">
      <c r="A9" s="15" t="n">
        <v>5</v>
      </c>
      <c r="B9" s="15" t="s">
        <v>409</v>
      </c>
      <c r="C9" s="15" t="s">
        <v>30</v>
      </c>
      <c r="D9" s="15" t="s">
        <v>410</v>
      </c>
      <c r="E9" s="15" t="s">
        <v>411</v>
      </c>
    </row>
    <row r="10" customFormat="false" ht="48" hidden="false" customHeight="true" outlineLevel="0" collapsed="false">
      <c r="A10" s="15" t="n">
        <v>6</v>
      </c>
      <c r="B10" s="15" t="s">
        <v>409</v>
      </c>
      <c r="C10" s="15" t="s">
        <v>31</v>
      </c>
      <c r="D10" s="15" t="s">
        <v>412</v>
      </c>
      <c r="E10" s="15" t="s">
        <v>413</v>
      </c>
    </row>
    <row r="11" customFormat="false" ht="48" hidden="false" customHeight="true" outlineLevel="0" collapsed="false">
      <c r="A11" s="15" t="n">
        <v>7</v>
      </c>
      <c r="B11" s="15" t="s">
        <v>414</v>
      </c>
      <c r="C11" s="15" t="s">
        <v>31</v>
      </c>
      <c r="D11" s="15" t="s">
        <v>415</v>
      </c>
      <c r="E11" s="15" t="s">
        <v>416</v>
      </c>
    </row>
    <row r="12" customFormat="false" ht="48" hidden="false" customHeight="true" outlineLevel="0" collapsed="false">
      <c r="A12" s="15" t="n">
        <v>8</v>
      </c>
      <c r="B12" s="15" t="s">
        <v>414</v>
      </c>
      <c r="C12" s="15" t="s">
        <v>33</v>
      </c>
      <c r="D12" s="15" t="s">
        <v>417</v>
      </c>
      <c r="E12" s="15" t="s">
        <v>418</v>
      </c>
    </row>
    <row r="13" customFormat="false" ht="48" hidden="false" customHeight="true" outlineLevel="0" collapsed="false">
      <c r="A13" s="15" t="n">
        <v>9</v>
      </c>
      <c r="B13" s="15" t="s">
        <v>419</v>
      </c>
      <c r="C13" s="15" t="s">
        <v>27</v>
      </c>
      <c r="D13" s="15" t="s">
        <v>420</v>
      </c>
      <c r="E13" s="15" t="s">
        <v>421</v>
      </c>
    </row>
    <row r="14" customFormat="false" ht="48" hidden="false" customHeight="true" outlineLevel="0" collapsed="false">
      <c r="A14" s="15" t="n">
        <v>10</v>
      </c>
      <c r="B14" s="15" t="s">
        <v>419</v>
      </c>
      <c r="C14" s="15" t="s">
        <v>28</v>
      </c>
      <c r="D14" s="15" t="s">
        <v>422</v>
      </c>
      <c r="E14" s="15" t="s">
        <v>423</v>
      </c>
    </row>
    <row r="15" customFormat="false" ht="48" hidden="false" customHeight="true" outlineLevel="0" collapsed="false">
      <c r="A15" s="15" t="n">
        <v>11</v>
      </c>
      <c r="B15" s="15" t="s">
        <v>419</v>
      </c>
      <c r="C15" s="15" t="s">
        <v>32</v>
      </c>
      <c r="D15" s="15" t="s">
        <v>424</v>
      </c>
      <c r="E15" s="15" t="s">
        <v>425</v>
      </c>
    </row>
    <row r="16" customFormat="false" ht="48" hidden="false" customHeight="true" outlineLevel="0" collapsed="false">
      <c r="A16" s="15" t="n">
        <v>12</v>
      </c>
      <c r="B16" s="15" t="s">
        <v>405</v>
      </c>
      <c r="C16" s="15" t="s">
        <v>27</v>
      </c>
      <c r="D16" s="15" t="s">
        <v>426</v>
      </c>
      <c r="E16" s="15" t="s">
        <v>427</v>
      </c>
    </row>
    <row r="17" customFormat="false" ht="48" hidden="false" customHeight="true" outlineLevel="0" collapsed="false">
      <c r="A17" s="15" t="n">
        <v>13</v>
      </c>
      <c r="B17" s="15" t="s">
        <v>405</v>
      </c>
      <c r="C17" s="15" t="s">
        <v>28</v>
      </c>
      <c r="D17" s="15" t="s">
        <v>428</v>
      </c>
      <c r="E17" s="15" t="s">
        <v>429</v>
      </c>
    </row>
    <row r="18" customFormat="false" ht="48" hidden="false" customHeight="true" outlineLevel="0" collapsed="false">
      <c r="A18" s="15" t="n">
        <v>14</v>
      </c>
      <c r="B18" s="15" t="s">
        <v>405</v>
      </c>
      <c r="C18" s="15" t="s">
        <v>32</v>
      </c>
      <c r="D18" s="15" t="s">
        <v>430</v>
      </c>
      <c r="E18" s="15" t="s">
        <v>431</v>
      </c>
    </row>
    <row r="19" customFormat="false" ht="48" hidden="false" customHeight="true" outlineLevel="0" collapsed="false">
      <c r="A19" s="15" t="n">
        <v>15</v>
      </c>
      <c r="B19" s="15" t="s">
        <v>405</v>
      </c>
      <c r="C19" s="15" t="s">
        <v>26</v>
      </c>
      <c r="D19" s="15" t="s">
        <v>432</v>
      </c>
      <c r="E19" s="15" t="s">
        <v>433</v>
      </c>
    </row>
    <row r="20" customFormat="false" ht="48" hidden="false" customHeight="true" outlineLevel="0" collapsed="false">
      <c r="A20" s="15" t="n">
        <v>16</v>
      </c>
      <c r="B20" s="15" t="s">
        <v>405</v>
      </c>
      <c r="C20" s="15" t="s">
        <v>34</v>
      </c>
      <c r="D20" s="15" t="s">
        <v>434</v>
      </c>
      <c r="E20" s="15" t="s">
        <v>435</v>
      </c>
    </row>
    <row r="21" customFormat="false" ht="48" hidden="false" customHeight="true" outlineLevel="0" collapsed="false">
      <c r="A21" s="15" t="n">
        <v>17</v>
      </c>
      <c r="B21" s="15" t="s">
        <v>436</v>
      </c>
      <c r="C21" s="15" t="s">
        <v>437</v>
      </c>
      <c r="D21" s="15" t="s">
        <v>438</v>
      </c>
      <c r="E21" s="15" t="s">
        <v>439</v>
      </c>
    </row>
    <row r="23" customFormat="false" ht="15" hidden="false" customHeight="false" outlineLevel="0" collapsed="false">
      <c r="A23" s="16" t="s">
        <v>440</v>
      </c>
      <c r="B23" s="16"/>
      <c r="C23" s="16"/>
      <c r="D23" s="16"/>
      <c r="E23" s="16"/>
    </row>
  </sheetData>
  <mergeCells count="3">
    <mergeCell ref="A1:E1"/>
    <mergeCell ref="A2:E2"/>
    <mergeCell ref="A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9.7" hidden="false" customHeight="false" outlineLevel="0" collapsed="false">
      <c r="A1" s="4" t="s">
        <v>441</v>
      </c>
      <c r="B1" s="4"/>
      <c r="C1" s="4"/>
      <c r="D1" s="4"/>
      <c r="E1" s="4"/>
      <c r="F1" s="4"/>
    </row>
    <row r="2" customFormat="false" ht="31.5" hidden="false" customHeight="true" outlineLevel="0" collapsed="false">
      <c r="A2" s="5" t="s">
        <v>442</v>
      </c>
      <c r="B2" s="5"/>
      <c r="C2" s="5"/>
      <c r="D2" s="5"/>
      <c r="E2" s="5"/>
      <c r="F2" s="5"/>
    </row>
    <row r="4" customFormat="false" ht="15" hidden="false" customHeight="false" outlineLevel="0" collapsed="false">
      <c r="A4" s="17" t="s">
        <v>443</v>
      </c>
    </row>
    <row r="5" customFormat="false" ht="15" hidden="false" customHeight="false" outlineLevel="0" collapsed="false">
      <c r="A5" s="17" t="s">
        <v>444</v>
      </c>
    </row>
    <row r="6" customFormat="false" ht="15" hidden="false" customHeight="false" outlineLevel="0" collapsed="false">
      <c r="A6" s="17" t="s">
        <v>445</v>
      </c>
    </row>
    <row r="7" customFormat="false" ht="15" hidden="false" customHeight="false" outlineLevel="0" collapsed="false">
      <c r="A7" s="17" t="s">
        <v>446</v>
      </c>
    </row>
    <row r="8" customFormat="false" ht="15" hidden="false" customHeight="false" outlineLevel="0" collapsed="false">
      <c r="A8" s="17" t="s">
        <v>447</v>
      </c>
    </row>
    <row r="9" customFormat="false" ht="15" hidden="false" customHeight="false" outlineLevel="0" collapsed="false">
      <c r="A9" s="17" t="s">
        <v>448</v>
      </c>
    </row>
    <row r="10" customFormat="false" ht="15" hidden="false" customHeight="false" outlineLevel="0" collapsed="false">
      <c r="A10" s="17" t="s">
        <v>449</v>
      </c>
    </row>
    <row r="11" customFormat="false" ht="15" hidden="false" customHeight="false" outlineLevel="0" collapsed="false">
      <c r="A11" s="17"/>
    </row>
    <row r="12" customFormat="false" ht="15" hidden="false" customHeight="false" outlineLevel="0" collapsed="false">
      <c r="A12" s="17" t="s">
        <v>450</v>
      </c>
    </row>
    <row r="13" customFormat="false" ht="15" hidden="false" customHeight="false" outlineLevel="0" collapsed="false">
      <c r="A13" s="17" t="s">
        <v>451</v>
      </c>
    </row>
    <row r="14" customFormat="false" ht="15" hidden="false" customHeight="false" outlineLevel="0" collapsed="false">
      <c r="A14" s="17"/>
    </row>
    <row r="15" customFormat="false" ht="15" hidden="false" customHeight="false" outlineLevel="0" collapsed="false">
      <c r="A15" s="17" t="s">
        <v>452</v>
      </c>
    </row>
    <row r="16" customFormat="false" ht="15" hidden="false" customHeight="false" outlineLevel="0" collapsed="false">
      <c r="A16" s="17" t="s">
        <v>453</v>
      </c>
    </row>
    <row r="17" customFormat="false" ht="15" hidden="false" customHeight="false" outlineLevel="0" collapsed="false">
      <c r="A17" s="17" t="s">
        <v>454</v>
      </c>
    </row>
    <row r="18" customFormat="false" ht="15" hidden="false" customHeight="false" outlineLevel="0" collapsed="false">
      <c r="A18" s="17" t="s">
        <v>455</v>
      </c>
    </row>
    <row r="19" customFormat="false" ht="15" hidden="false" customHeight="false" outlineLevel="0" collapsed="false">
      <c r="A19" s="17" t="s">
        <v>456</v>
      </c>
    </row>
    <row r="20" customFormat="false" ht="15" hidden="false" customHeight="false" outlineLevel="0" collapsed="false">
      <c r="A20" s="17"/>
    </row>
    <row r="21" customFormat="false" ht="15" hidden="false" customHeight="false" outlineLevel="0" collapsed="false">
      <c r="A21" s="17" t="s">
        <v>457</v>
      </c>
    </row>
    <row r="22" customFormat="false" ht="15" hidden="false" customHeight="false" outlineLevel="0" collapsed="false">
      <c r="A22" s="17" t="s">
        <v>458</v>
      </c>
    </row>
    <row r="23" customFormat="false" ht="15" hidden="false" customHeight="false" outlineLevel="0" collapsed="false">
      <c r="A23" s="17"/>
    </row>
    <row r="24" customFormat="false" ht="15" hidden="false" customHeight="false" outlineLevel="0" collapsed="false">
      <c r="A24" s="17" t="s">
        <v>459</v>
      </c>
    </row>
    <row r="25" customFormat="false" ht="15" hidden="false" customHeight="false" outlineLevel="0" collapsed="false">
      <c r="A25" s="17" t="s">
        <v>460</v>
      </c>
    </row>
    <row r="26" customFormat="false" ht="15" hidden="false" customHeight="false" outlineLevel="0" collapsed="false">
      <c r="A26" s="17" t="s">
        <v>461</v>
      </c>
    </row>
    <row r="27" customFormat="false" ht="15" hidden="false" customHeight="false" outlineLevel="0" collapsed="false">
      <c r="A27" s="17" t="s">
        <v>462</v>
      </c>
    </row>
    <row r="28" customFormat="false" ht="15" hidden="false" customHeight="false" outlineLevel="0" collapsed="false">
      <c r="A28" s="17"/>
    </row>
    <row r="29" customFormat="false" ht="15" hidden="false" customHeight="false" outlineLevel="0" collapsed="false">
      <c r="A29" s="17" t="s">
        <v>463</v>
      </c>
    </row>
    <row r="30" customFormat="false" ht="15" hidden="false" customHeight="false" outlineLevel="0" collapsed="false">
      <c r="A30" s="17" t="s">
        <v>464</v>
      </c>
    </row>
    <row r="31" customFormat="false" ht="15" hidden="false" customHeight="false" outlineLevel="0" collapsed="false">
      <c r="A31" s="17" t="s">
        <v>465</v>
      </c>
    </row>
    <row r="32" customFormat="false" ht="15" hidden="false" customHeight="false" outlineLevel="0" collapsed="false">
      <c r="A32" s="17"/>
    </row>
    <row r="33" customFormat="false" ht="15" hidden="false" customHeight="false" outlineLevel="0" collapsed="false">
      <c r="A33" s="17" t="s">
        <v>466</v>
      </c>
    </row>
    <row r="34" customFormat="false" ht="15" hidden="false" customHeight="false" outlineLevel="0" collapsed="false">
      <c r="A34" s="17" t="s">
        <v>467</v>
      </c>
    </row>
    <row r="35" customFormat="false" ht="15" hidden="false" customHeight="false" outlineLevel="0" collapsed="false">
      <c r="A35" s="17" t="s">
        <v>468</v>
      </c>
    </row>
    <row r="36" customFormat="false" ht="15" hidden="false" customHeight="false" outlineLevel="0" collapsed="false">
      <c r="A36" s="17"/>
    </row>
    <row r="37" customFormat="false" ht="15" hidden="false" customHeight="false" outlineLevel="0" collapsed="false">
      <c r="A37" s="17" t="s">
        <v>469</v>
      </c>
    </row>
    <row r="38" customFormat="false" ht="15" hidden="false" customHeight="false" outlineLevel="0" collapsed="false">
      <c r="A38" s="17" t="s">
        <v>470</v>
      </c>
    </row>
    <row r="39" customFormat="false" ht="15" hidden="false" customHeight="false" outlineLevel="0" collapsed="false">
      <c r="A39" s="17" t="s">
        <v>471</v>
      </c>
    </row>
    <row r="40" customFormat="false" ht="15" hidden="false" customHeight="false" outlineLevel="0" collapsed="false">
      <c r="A40" s="17"/>
    </row>
    <row r="41" customFormat="false" ht="15" hidden="false" customHeight="false" outlineLevel="0" collapsed="false">
      <c r="A41" s="17" t="s">
        <v>472</v>
      </c>
    </row>
    <row r="42" customFormat="false" ht="15" hidden="false" customHeight="false" outlineLevel="0" collapsed="false">
      <c r="A42" s="17" t="s">
        <v>473</v>
      </c>
    </row>
    <row r="43" customFormat="false" ht="15" hidden="false" customHeight="false" outlineLevel="0" collapsed="false">
      <c r="A43" s="17" t="s">
        <v>474</v>
      </c>
    </row>
    <row r="44" customFormat="false" ht="15" hidden="false" customHeight="false" outlineLevel="0" collapsed="false">
      <c r="A44" s="17" t="s">
        <v>475</v>
      </c>
    </row>
    <row r="45" customFormat="false" ht="15" hidden="false" customHeight="false" outlineLevel="0" collapsed="false">
      <c r="A45" s="17" t="s">
        <v>476</v>
      </c>
    </row>
    <row r="46" customFormat="false" ht="15" hidden="false" customHeight="false" outlineLevel="0" collapsed="false">
      <c r="A46" s="17" t="s">
        <v>477</v>
      </c>
    </row>
    <row r="47" customFormat="false" ht="15" hidden="false" customHeight="false" outlineLevel="0" collapsed="false">
      <c r="A47" s="17" t="s">
        <v>478</v>
      </c>
    </row>
    <row r="48" customFormat="false" ht="15" hidden="false" customHeight="false" outlineLevel="0" collapsed="false">
      <c r="A48" s="17" t="s">
        <v>479</v>
      </c>
    </row>
    <row r="49" customFormat="false" ht="15" hidden="false" customHeight="false" outlineLevel="0" collapsed="false">
      <c r="A49" s="17"/>
    </row>
    <row r="50" customFormat="false" ht="15" hidden="false" customHeight="false" outlineLevel="0" collapsed="false">
      <c r="A50" s="17" t="s">
        <v>480</v>
      </c>
    </row>
    <row r="51" customFormat="false" ht="15" hidden="false" customHeight="false" outlineLevel="0" collapsed="false">
      <c r="A51" s="17" t="s">
        <v>481</v>
      </c>
    </row>
    <row r="52" customFormat="false" ht="15" hidden="false" customHeight="false" outlineLevel="0" collapsed="false">
      <c r="A52" s="17" t="s">
        <v>482</v>
      </c>
    </row>
    <row r="53" customFormat="false" ht="15" hidden="false" customHeight="false" outlineLevel="0" collapsed="false">
      <c r="A53" s="17" t="s">
        <v>483</v>
      </c>
    </row>
    <row r="54" customFormat="false" ht="15" hidden="false" customHeight="false" outlineLevel="0" collapsed="false">
      <c r="A54" s="17" t="s">
        <v>484</v>
      </c>
    </row>
    <row r="55" customFormat="false" ht="15" hidden="false" customHeight="false" outlineLevel="0" collapsed="false">
      <c r="A55" s="17" t="s">
        <v>485</v>
      </c>
    </row>
    <row r="56" customFormat="false" ht="15" hidden="false" customHeight="false" outlineLevel="0" collapsed="false">
      <c r="A56" s="17"/>
    </row>
    <row r="57" customFormat="false" ht="15" hidden="false" customHeight="false" outlineLevel="0" collapsed="false">
      <c r="A57" s="17" t="s">
        <v>486</v>
      </c>
    </row>
    <row r="58" customFormat="false" ht="15" hidden="false" customHeight="false" outlineLevel="0" collapsed="false">
      <c r="A58" s="17" t="s">
        <v>487</v>
      </c>
    </row>
    <row r="59" customFormat="false" ht="15" hidden="false" customHeight="false" outlineLevel="0" collapsed="false">
      <c r="A59" s="17" t="s">
        <v>488</v>
      </c>
    </row>
    <row r="60" customFormat="false" ht="15" hidden="false" customHeight="false" outlineLevel="0" collapsed="false">
      <c r="A60" s="17"/>
    </row>
    <row r="61" customFormat="false" ht="15" hidden="false" customHeight="false" outlineLevel="0" collapsed="false">
      <c r="A61" s="17" t="s">
        <v>489</v>
      </c>
    </row>
    <row r="62" customFormat="false" ht="15" hidden="false" customHeight="false" outlineLevel="0" collapsed="false">
      <c r="A62" s="17" t="s">
        <v>490</v>
      </c>
    </row>
    <row r="63" customFormat="false" ht="15" hidden="false" customHeight="false" outlineLevel="0" collapsed="false">
      <c r="A63" s="17" t="s">
        <v>491</v>
      </c>
    </row>
    <row r="64" customFormat="false" ht="15" hidden="false" customHeight="false" outlineLevel="0" collapsed="false">
      <c r="A64" s="17" t="s">
        <v>492</v>
      </c>
    </row>
    <row r="67" customFormat="false" ht="15" hidden="false" customHeight="false" outlineLevel="0" collapsed="false">
      <c r="A67" s="18" t="s">
        <v>493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0" width="15"/>
  </cols>
  <sheetData>
    <row r="1" customFormat="false" ht="15" hidden="false" customHeight="false" outlineLevel="0" collapsed="false">
      <c r="A1" s="9" t="s">
        <v>24</v>
      </c>
      <c r="B1" s="9" t="s">
        <v>25</v>
      </c>
      <c r="C1" s="9" t="s">
        <v>26</v>
      </c>
      <c r="D1" s="9" t="s">
        <v>27</v>
      </c>
      <c r="E1" s="9" t="s">
        <v>28</v>
      </c>
      <c r="F1" s="9" t="s">
        <v>29</v>
      </c>
      <c r="G1" s="9" t="s">
        <v>30</v>
      </c>
      <c r="H1" s="9" t="s">
        <v>31</v>
      </c>
      <c r="I1" s="9" t="s">
        <v>32</v>
      </c>
      <c r="J1" s="9" t="s">
        <v>33</v>
      </c>
      <c r="K1" s="9" t="s">
        <v>34</v>
      </c>
      <c r="L1" s="9" t="s">
        <v>437</v>
      </c>
    </row>
    <row r="2" customFormat="false" ht="15" hidden="false" customHeight="false" outlineLevel="0" collapsed="false">
      <c r="A2" s="0" t="n">
        <v>1058</v>
      </c>
      <c r="B2" s="19" t="n">
        <v>45634</v>
      </c>
      <c r="C2" s="11" t="s">
        <v>35</v>
      </c>
      <c r="D2" s="11" t="s">
        <v>36</v>
      </c>
      <c r="E2" s="11" t="s">
        <v>37</v>
      </c>
      <c r="F2" s="11" t="s">
        <v>38</v>
      </c>
      <c r="G2" s="0" t="n">
        <v>8</v>
      </c>
      <c r="H2" s="20" t="n">
        <v>2104.41</v>
      </c>
      <c r="I2" s="11" t="s">
        <v>39</v>
      </c>
      <c r="J2" s="11" t="s">
        <v>115</v>
      </c>
      <c r="K2" s="11" t="s">
        <v>41</v>
      </c>
      <c r="L2" s="20" t="n">
        <f aca="false">G2*H2</f>
        <v>16835.28</v>
      </c>
    </row>
    <row r="3" customFormat="false" ht="15" hidden="false" customHeight="false" outlineLevel="0" collapsed="false">
      <c r="A3" s="0" t="n">
        <v>1279</v>
      </c>
      <c r="B3" s="19" t="n">
        <v>45471</v>
      </c>
      <c r="C3" s="11" t="s">
        <v>42</v>
      </c>
      <c r="D3" s="11" t="s">
        <v>43</v>
      </c>
      <c r="E3" s="11" t="s">
        <v>66</v>
      </c>
      <c r="F3" s="11" t="s">
        <v>45</v>
      </c>
      <c r="G3" s="0" t="n">
        <v>4</v>
      </c>
      <c r="H3" s="20" t="n">
        <v>845.36</v>
      </c>
      <c r="I3" s="11" t="s">
        <v>46</v>
      </c>
      <c r="J3" s="11" t="s">
        <v>115</v>
      </c>
      <c r="K3" s="11" t="s">
        <v>47</v>
      </c>
      <c r="L3" s="20" t="n">
        <f aca="false">G3*H3</f>
        <v>3381.44</v>
      </c>
    </row>
    <row r="4" customFormat="false" ht="15" hidden="false" customHeight="false" outlineLevel="0" collapsed="false">
      <c r="A4" s="0" t="n">
        <v>1265</v>
      </c>
      <c r="B4" s="19" t="n">
        <v>45644</v>
      </c>
      <c r="C4" s="11" t="s">
        <v>48</v>
      </c>
      <c r="D4" s="11" t="s">
        <v>49</v>
      </c>
      <c r="E4" s="11" t="s">
        <v>50</v>
      </c>
      <c r="F4" s="11" t="s">
        <v>51</v>
      </c>
      <c r="G4" s="0" t="n">
        <v>3</v>
      </c>
      <c r="H4" s="20" t="n">
        <v>1856.13</v>
      </c>
      <c r="I4" s="11" t="s">
        <v>52</v>
      </c>
      <c r="J4" s="11" t="s">
        <v>115</v>
      </c>
      <c r="K4" s="11" t="s">
        <v>53</v>
      </c>
      <c r="L4" s="20" t="n">
        <f aca="false">G4*H4</f>
        <v>5568.39</v>
      </c>
    </row>
    <row r="5" customFormat="false" ht="15" hidden="false" customHeight="false" outlineLevel="0" collapsed="false">
      <c r="A5" s="0" t="n">
        <v>1165</v>
      </c>
      <c r="B5" s="19" t="n">
        <v>45652</v>
      </c>
      <c r="C5" s="11" t="s">
        <v>494</v>
      </c>
      <c r="D5" s="11" t="s">
        <v>59</v>
      </c>
      <c r="E5" s="11" t="s">
        <v>60</v>
      </c>
      <c r="F5" s="11" t="s">
        <v>61</v>
      </c>
      <c r="G5" s="0" t="n">
        <v>8</v>
      </c>
      <c r="H5" s="20" t="n">
        <v>616.53</v>
      </c>
      <c r="I5" s="11" t="s">
        <v>52</v>
      </c>
      <c r="J5" s="11" t="s">
        <v>115</v>
      </c>
      <c r="K5" s="11" t="s">
        <v>63</v>
      </c>
      <c r="L5" s="20" t="n">
        <f aca="false">G5*H5</f>
        <v>4932.24</v>
      </c>
    </row>
    <row r="6" customFormat="false" ht="15" hidden="false" customHeight="false" outlineLevel="0" collapsed="false">
      <c r="A6" s="0" t="n">
        <v>1119</v>
      </c>
      <c r="B6" s="19" t="n">
        <v>45579</v>
      </c>
      <c r="C6" s="11" t="s">
        <v>64</v>
      </c>
      <c r="D6" s="11" t="s">
        <v>65</v>
      </c>
      <c r="E6" s="11" t="s">
        <v>66</v>
      </c>
      <c r="F6" s="11" t="s">
        <v>67</v>
      </c>
      <c r="G6" s="0" t="n">
        <v>7</v>
      </c>
      <c r="H6" s="20" t="n">
        <v>1073.72</v>
      </c>
      <c r="I6" s="11" t="s">
        <v>68</v>
      </c>
      <c r="J6" s="11" t="s">
        <v>115</v>
      </c>
      <c r="K6" s="11" t="s">
        <v>47</v>
      </c>
      <c r="L6" s="20" t="n">
        <f aca="false">G6*H6</f>
        <v>7516.04</v>
      </c>
    </row>
    <row r="7" customFormat="false" ht="15" hidden="false" customHeight="false" outlineLevel="0" collapsed="false">
      <c r="A7" s="0" t="n">
        <v>1253</v>
      </c>
      <c r="B7" s="19" t="n">
        <v>45638</v>
      </c>
      <c r="C7" s="11" t="s">
        <v>70</v>
      </c>
      <c r="D7" s="11" t="s">
        <v>36</v>
      </c>
      <c r="E7" s="11" t="s">
        <v>50</v>
      </c>
      <c r="F7" s="11" t="s">
        <v>72</v>
      </c>
      <c r="G7" s="0" t="n">
        <v>9</v>
      </c>
      <c r="H7" s="20" t="n">
        <v>539.87</v>
      </c>
      <c r="I7" s="11" t="s">
        <v>52</v>
      </c>
      <c r="J7" s="11" t="s">
        <v>85</v>
      </c>
      <c r="K7" s="11" t="s">
        <v>74</v>
      </c>
      <c r="L7" s="20" t="n">
        <f aca="false">G7*H7</f>
        <v>4858.83</v>
      </c>
    </row>
    <row r="8" customFormat="false" ht="15" hidden="false" customHeight="false" outlineLevel="0" collapsed="false">
      <c r="A8" s="0" t="n">
        <v>1202</v>
      </c>
      <c r="B8" s="19" t="n">
        <v>45643</v>
      </c>
      <c r="C8" s="11" t="s">
        <v>494</v>
      </c>
      <c r="D8" s="11" t="s">
        <v>59</v>
      </c>
      <c r="E8" s="11" t="s">
        <v>37</v>
      </c>
      <c r="F8" s="11" t="s">
        <v>38</v>
      </c>
      <c r="G8" s="0" t="n">
        <v>2</v>
      </c>
      <c r="H8" s="20" t="n">
        <v>1923.36</v>
      </c>
      <c r="I8" s="11" t="s">
        <v>39</v>
      </c>
      <c r="J8" s="11" t="s">
        <v>85</v>
      </c>
      <c r="K8" s="11" t="s">
        <v>58</v>
      </c>
      <c r="L8" s="20" t="n">
        <f aca="false">G8*H8</f>
        <v>3846.72</v>
      </c>
    </row>
    <row r="9" customFormat="false" ht="15" hidden="false" customHeight="false" outlineLevel="0" collapsed="false">
      <c r="A9" s="0" t="n">
        <v>1257</v>
      </c>
      <c r="B9" s="19" t="n">
        <v>45470</v>
      </c>
      <c r="C9" s="11" t="s">
        <v>48</v>
      </c>
      <c r="D9" s="11" t="s">
        <v>77</v>
      </c>
      <c r="E9" s="11" t="s">
        <v>66</v>
      </c>
      <c r="F9" s="11" t="s">
        <v>78</v>
      </c>
      <c r="G9" s="0" t="n">
        <v>10</v>
      </c>
      <c r="H9" s="20" t="n">
        <v>534.13</v>
      </c>
      <c r="I9" s="11" t="s">
        <v>39</v>
      </c>
      <c r="J9" s="11" t="s">
        <v>115</v>
      </c>
      <c r="K9" s="11" t="s">
        <v>80</v>
      </c>
      <c r="L9" s="20" t="n">
        <f aca="false">G9*H9</f>
        <v>5341.3</v>
      </c>
    </row>
    <row r="10" customFormat="false" ht="15" hidden="false" customHeight="false" outlineLevel="0" collapsed="false">
      <c r="A10" s="0" t="n">
        <v>1055</v>
      </c>
      <c r="B10" s="19" t="n">
        <v>45361</v>
      </c>
      <c r="C10" s="11" t="s">
        <v>81</v>
      </c>
      <c r="D10" s="11" t="s">
        <v>82</v>
      </c>
      <c r="E10" s="11" t="s">
        <v>83</v>
      </c>
      <c r="F10" s="11" t="s">
        <v>84</v>
      </c>
      <c r="G10" s="0" t="n">
        <v>5</v>
      </c>
      <c r="H10" s="20" t="n">
        <v>1149.73</v>
      </c>
      <c r="I10" s="11" t="s">
        <v>52</v>
      </c>
      <c r="J10" s="11" t="s">
        <v>85</v>
      </c>
      <c r="K10" s="11" t="s">
        <v>86</v>
      </c>
      <c r="L10" s="20" t="n">
        <f aca="false">G10*H10</f>
        <v>5748.65</v>
      </c>
    </row>
    <row r="11" customFormat="false" ht="15" hidden="false" customHeight="false" outlineLevel="0" collapsed="false">
      <c r="A11" s="0" t="n">
        <v>1199</v>
      </c>
      <c r="B11" s="19" t="n">
        <v>45381</v>
      </c>
      <c r="C11" s="11" t="s">
        <v>87</v>
      </c>
      <c r="D11" s="11" t="s">
        <v>49</v>
      </c>
      <c r="E11" s="11" t="s">
        <v>66</v>
      </c>
      <c r="F11" s="11" t="s">
        <v>88</v>
      </c>
      <c r="G11" s="0" t="n">
        <v>7</v>
      </c>
      <c r="H11" s="20" t="n">
        <v>1555.54</v>
      </c>
      <c r="I11" s="11" t="s">
        <v>46</v>
      </c>
      <c r="J11" s="11" t="s">
        <v>85</v>
      </c>
      <c r="K11" s="11" t="s">
        <v>41</v>
      </c>
      <c r="L11" s="20" t="n">
        <f aca="false">G11*H11</f>
        <v>10888.78</v>
      </c>
    </row>
    <row r="12" customFormat="false" ht="15" hidden="false" customHeight="false" outlineLevel="0" collapsed="false">
      <c r="A12" s="0" t="n">
        <v>1132</v>
      </c>
      <c r="B12" s="19" t="n">
        <v>45412</v>
      </c>
      <c r="C12" s="11" t="s">
        <v>494</v>
      </c>
      <c r="D12" s="11" t="s">
        <v>59</v>
      </c>
      <c r="E12" s="11" t="s">
        <v>60</v>
      </c>
      <c r="F12" s="11" t="s">
        <v>91</v>
      </c>
      <c r="G12" s="0" t="n">
        <v>4</v>
      </c>
      <c r="H12" s="20" t="n">
        <v>537.03</v>
      </c>
      <c r="I12" s="11" t="s">
        <v>52</v>
      </c>
      <c r="J12" s="11" t="s">
        <v>115</v>
      </c>
      <c r="K12" s="11" t="s">
        <v>80</v>
      </c>
      <c r="L12" s="20" t="n">
        <f aca="false">G12*H12</f>
        <v>2148.12</v>
      </c>
    </row>
    <row r="13" customFormat="false" ht="15" hidden="false" customHeight="false" outlineLevel="0" collapsed="false">
      <c r="A13" s="0" t="n">
        <v>1112</v>
      </c>
      <c r="B13" s="19" t="n">
        <v>45318</v>
      </c>
      <c r="C13" s="11" t="s">
        <v>92</v>
      </c>
      <c r="D13" s="11" t="s">
        <v>49</v>
      </c>
      <c r="E13" s="11" t="s">
        <v>37</v>
      </c>
      <c r="F13" s="11" t="s">
        <v>93</v>
      </c>
      <c r="G13" s="0" t="n">
        <v>9</v>
      </c>
      <c r="H13" s="20" t="n">
        <v>358.67</v>
      </c>
      <c r="I13" s="11" t="s">
        <v>46</v>
      </c>
      <c r="J13" s="11" t="s">
        <v>85</v>
      </c>
      <c r="K13" s="11" t="s">
        <v>63</v>
      </c>
      <c r="L13" s="20" t="n">
        <f aca="false">G13*H13</f>
        <v>3228.03</v>
      </c>
    </row>
    <row r="14" customFormat="false" ht="15" hidden="false" customHeight="false" outlineLevel="0" collapsed="false">
      <c r="A14" s="0" t="n">
        <v>1197</v>
      </c>
      <c r="B14" s="19" t="n">
        <v>45600</v>
      </c>
      <c r="C14" s="11" t="s">
        <v>94</v>
      </c>
      <c r="D14" s="11" t="s">
        <v>59</v>
      </c>
      <c r="E14" s="11" t="s">
        <v>60</v>
      </c>
      <c r="F14" s="11" t="s">
        <v>95</v>
      </c>
      <c r="G14" s="0" t="n">
        <v>8</v>
      </c>
      <c r="H14" s="20" t="n">
        <v>2967.52</v>
      </c>
      <c r="I14" s="11" t="s">
        <v>68</v>
      </c>
      <c r="J14" s="11" t="s">
        <v>115</v>
      </c>
      <c r="K14" s="11" t="s">
        <v>63</v>
      </c>
      <c r="L14" s="20" t="n">
        <f aca="false">G14*H14</f>
        <v>23740.16</v>
      </c>
    </row>
    <row r="15" customFormat="false" ht="15" hidden="false" customHeight="false" outlineLevel="0" collapsed="false">
      <c r="A15" s="0" t="n">
        <v>1275</v>
      </c>
      <c r="B15" s="19" t="n">
        <v>45557</v>
      </c>
      <c r="C15" s="11" t="s">
        <v>494</v>
      </c>
      <c r="D15" s="11" t="s">
        <v>82</v>
      </c>
      <c r="E15" s="11" t="s">
        <v>66</v>
      </c>
      <c r="F15" s="11" t="s">
        <v>88</v>
      </c>
      <c r="G15" s="0" t="n">
        <v>6</v>
      </c>
      <c r="H15" s="20" t="n">
        <v>2454.98</v>
      </c>
      <c r="I15" s="11" t="s">
        <v>68</v>
      </c>
      <c r="J15" s="11" t="s">
        <v>115</v>
      </c>
      <c r="K15" s="11" t="s">
        <v>63</v>
      </c>
      <c r="L15" s="20" t="n">
        <f aca="false">G15*H15</f>
        <v>14729.88</v>
      </c>
    </row>
    <row r="16" customFormat="false" ht="15" hidden="false" customHeight="false" outlineLevel="0" collapsed="false">
      <c r="A16" s="0" t="n">
        <v>1110</v>
      </c>
      <c r="B16" s="19" t="n">
        <v>45592</v>
      </c>
      <c r="C16" s="11" t="s">
        <v>97</v>
      </c>
      <c r="D16" s="11" t="s">
        <v>36</v>
      </c>
      <c r="E16" s="11" t="s">
        <v>66</v>
      </c>
      <c r="F16" s="11" t="s">
        <v>88</v>
      </c>
      <c r="G16" s="0" t="n">
        <v>6</v>
      </c>
      <c r="H16" s="20" t="n">
        <v>2327.62</v>
      </c>
      <c r="I16" s="11" t="s">
        <v>46</v>
      </c>
      <c r="J16" s="11" t="s">
        <v>85</v>
      </c>
      <c r="K16" s="11" t="s">
        <v>80</v>
      </c>
      <c r="L16" s="20" t="n">
        <f aca="false">G16*H16</f>
        <v>13965.72</v>
      </c>
    </row>
    <row r="17" customFormat="false" ht="15" hidden="false" customHeight="false" outlineLevel="0" collapsed="false">
      <c r="A17" s="0" t="n">
        <v>1160</v>
      </c>
      <c r="B17" s="19" t="n">
        <v>45448</v>
      </c>
      <c r="C17" s="11" t="s">
        <v>98</v>
      </c>
      <c r="D17" s="11" t="s">
        <v>49</v>
      </c>
      <c r="E17" s="11" t="s">
        <v>50</v>
      </c>
      <c r="F17" s="11" t="s">
        <v>99</v>
      </c>
      <c r="G17" s="0" t="n">
        <v>3</v>
      </c>
      <c r="H17" s="20" t="n">
        <v>2075.5</v>
      </c>
      <c r="I17" s="11" t="s">
        <v>39</v>
      </c>
      <c r="J17" s="11" t="s">
        <v>85</v>
      </c>
      <c r="K17" s="11" t="s">
        <v>53</v>
      </c>
      <c r="L17" s="20" t="n">
        <f aca="false">G17*H17</f>
        <v>6226.5</v>
      </c>
    </row>
    <row r="18" customFormat="false" ht="15" hidden="false" customHeight="false" outlineLevel="0" collapsed="false">
      <c r="A18" s="0" t="n">
        <v>1251</v>
      </c>
      <c r="B18" s="19" t="n">
        <v>45351</v>
      </c>
      <c r="C18" s="11" t="s">
        <v>101</v>
      </c>
      <c r="D18" s="11" t="s">
        <v>59</v>
      </c>
      <c r="E18" s="11" t="s">
        <v>102</v>
      </c>
      <c r="F18" s="11" t="s">
        <v>103</v>
      </c>
      <c r="G18" s="0" t="n">
        <v>6</v>
      </c>
      <c r="H18" s="20" t="n">
        <v>1376.89</v>
      </c>
      <c r="I18" s="11" t="s">
        <v>52</v>
      </c>
      <c r="J18" s="11" t="s">
        <v>85</v>
      </c>
      <c r="K18" s="11" t="s">
        <v>86</v>
      </c>
      <c r="L18" s="20" t="n">
        <f aca="false">G18*H18</f>
        <v>8261.34</v>
      </c>
    </row>
    <row r="19" customFormat="false" ht="15" hidden="false" customHeight="false" outlineLevel="0" collapsed="false">
      <c r="A19" s="0" t="n">
        <v>1181</v>
      </c>
      <c r="B19" s="19" t="n">
        <v>45497</v>
      </c>
      <c r="C19" s="11" t="s">
        <v>105</v>
      </c>
      <c r="D19" s="11" t="s">
        <v>36</v>
      </c>
      <c r="E19" s="11" t="s">
        <v>60</v>
      </c>
      <c r="F19" s="11" t="s">
        <v>106</v>
      </c>
      <c r="G19" s="0" t="n">
        <v>6</v>
      </c>
      <c r="H19" s="20" t="n">
        <v>1668.6</v>
      </c>
      <c r="I19" s="11" t="s">
        <v>46</v>
      </c>
      <c r="J19" s="11" t="s">
        <v>85</v>
      </c>
      <c r="K19" s="11" t="s">
        <v>63</v>
      </c>
      <c r="L19" s="20" t="n">
        <f aca="false">G19*H19</f>
        <v>10011.6</v>
      </c>
    </row>
    <row r="20" customFormat="false" ht="15" hidden="false" customHeight="false" outlineLevel="0" collapsed="false">
      <c r="A20" s="0" t="n">
        <v>1042</v>
      </c>
      <c r="B20" s="19" t="n">
        <v>45638</v>
      </c>
      <c r="C20" s="11" t="s">
        <v>109</v>
      </c>
      <c r="D20" s="11" t="s">
        <v>59</v>
      </c>
      <c r="E20" s="11" t="s">
        <v>102</v>
      </c>
      <c r="F20" s="11" t="s">
        <v>110</v>
      </c>
      <c r="G20" s="0" t="n">
        <v>7</v>
      </c>
      <c r="H20" s="20" t="n">
        <v>1652.85</v>
      </c>
      <c r="I20" s="11" t="s">
        <v>46</v>
      </c>
      <c r="J20" s="11" t="s">
        <v>85</v>
      </c>
      <c r="K20" s="11" t="s">
        <v>47</v>
      </c>
      <c r="L20" s="20" t="n">
        <f aca="false">G20*H20</f>
        <v>11569.95</v>
      </c>
    </row>
    <row r="21" customFormat="false" ht="15" hidden="false" customHeight="false" outlineLevel="0" collapsed="false">
      <c r="A21" s="0" t="n">
        <v>1148</v>
      </c>
      <c r="B21" s="19" t="n">
        <v>45319</v>
      </c>
      <c r="C21" s="11" t="s">
        <v>111</v>
      </c>
      <c r="D21" s="11" t="s">
        <v>112</v>
      </c>
      <c r="E21" s="11" t="s">
        <v>83</v>
      </c>
      <c r="F21" s="11" t="s">
        <v>84</v>
      </c>
      <c r="G21" s="0" t="n">
        <v>4</v>
      </c>
      <c r="H21" s="20" t="n">
        <v>1170.78</v>
      </c>
      <c r="I21" s="11" t="s">
        <v>46</v>
      </c>
      <c r="J21" s="11" t="s">
        <v>85</v>
      </c>
      <c r="K21" s="11" t="s">
        <v>58</v>
      </c>
      <c r="L21" s="20" t="n">
        <f aca="false">G21*H21</f>
        <v>4683.12</v>
      </c>
    </row>
    <row r="22" customFormat="false" ht="15" hidden="false" customHeight="false" outlineLevel="0" collapsed="false">
      <c r="A22" s="0" t="n">
        <v>1065</v>
      </c>
      <c r="B22" s="19" t="n">
        <v>45466</v>
      </c>
      <c r="C22" s="11" t="s">
        <v>113</v>
      </c>
      <c r="D22" s="11" t="s">
        <v>59</v>
      </c>
      <c r="E22" s="11" t="s">
        <v>60</v>
      </c>
      <c r="F22" s="11" t="s">
        <v>61</v>
      </c>
      <c r="G22" s="0" t="n">
        <v>9</v>
      </c>
      <c r="H22" s="20" t="n">
        <v>50.25</v>
      </c>
      <c r="I22" s="11" t="s">
        <v>494</v>
      </c>
      <c r="J22" s="11" t="s">
        <v>115</v>
      </c>
      <c r="K22" s="11" t="s">
        <v>58</v>
      </c>
      <c r="L22" s="20" t="n">
        <f aca="false">G22*H22</f>
        <v>452.25</v>
      </c>
    </row>
    <row r="23" customFormat="false" ht="15" hidden="false" customHeight="false" outlineLevel="0" collapsed="false">
      <c r="A23" s="0" t="n">
        <v>1086</v>
      </c>
      <c r="B23" s="19" t="n">
        <v>45504</v>
      </c>
      <c r="C23" s="11" t="s">
        <v>114</v>
      </c>
      <c r="D23" s="11" t="s">
        <v>36</v>
      </c>
      <c r="E23" s="11" t="s">
        <v>66</v>
      </c>
      <c r="F23" s="11" t="s">
        <v>55</v>
      </c>
      <c r="G23" s="0" t="n">
        <v>8</v>
      </c>
      <c r="H23" s="20" t="n">
        <v>1662.77</v>
      </c>
      <c r="I23" s="11" t="s">
        <v>68</v>
      </c>
      <c r="J23" s="11" t="s">
        <v>115</v>
      </c>
      <c r="K23" s="11" t="s">
        <v>80</v>
      </c>
      <c r="L23" s="20" t="n">
        <f aca="false">G23*H23</f>
        <v>13302.16</v>
      </c>
    </row>
    <row r="24" customFormat="false" ht="15" hidden="false" customHeight="false" outlineLevel="0" collapsed="false">
      <c r="A24" s="0" t="n">
        <v>1180</v>
      </c>
      <c r="B24" s="19" t="n">
        <v>45597</v>
      </c>
      <c r="C24" s="11" t="s">
        <v>116</v>
      </c>
      <c r="D24" s="11" t="s">
        <v>82</v>
      </c>
      <c r="E24" s="11" t="s">
        <v>60</v>
      </c>
      <c r="F24" s="11" t="s">
        <v>117</v>
      </c>
      <c r="G24" s="0" t="n">
        <v>2</v>
      </c>
      <c r="H24" s="20" t="n">
        <v>1304.16</v>
      </c>
      <c r="I24" s="11" t="s">
        <v>39</v>
      </c>
      <c r="J24" s="11" t="s">
        <v>85</v>
      </c>
      <c r="K24" s="11" t="s">
        <v>74</v>
      </c>
      <c r="L24" s="20" t="n">
        <f aca="false">G24*H24</f>
        <v>2608.32</v>
      </c>
    </row>
    <row r="25" customFormat="false" ht="15" hidden="false" customHeight="false" outlineLevel="0" collapsed="false">
      <c r="A25" s="0" t="n">
        <v>1174</v>
      </c>
      <c r="B25" s="19" t="n">
        <v>45546</v>
      </c>
      <c r="C25" s="11" t="s">
        <v>118</v>
      </c>
      <c r="D25" s="11" t="s">
        <v>59</v>
      </c>
      <c r="E25" s="11" t="s">
        <v>66</v>
      </c>
      <c r="F25" s="11" t="s">
        <v>78</v>
      </c>
      <c r="G25" s="0" t="n">
        <v>8</v>
      </c>
      <c r="H25" s="20" t="n">
        <v>749.74</v>
      </c>
      <c r="I25" s="11" t="s">
        <v>68</v>
      </c>
      <c r="J25" s="11" t="s">
        <v>85</v>
      </c>
      <c r="K25" s="11" t="s">
        <v>63</v>
      </c>
      <c r="L25" s="20" t="n">
        <f aca="false">G25*H25</f>
        <v>5997.92</v>
      </c>
    </row>
    <row r="26" customFormat="false" ht="15" hidden="false" customHeight="false" outlineLevel="0" collapsed="false">
      <c r="A26" s="0" t="n">
        <v>1266</v>
      </c>
      <c r="B26" s="19" t="n">
        <v>45564</v>
      </c>
      <c r="C26" s="11" t="s">
        <v>113</v>
      </c>
      <c r="D26" s="11" t="s">
        <v>43</v>
      </c>
      <c r="E26" s="11" t="s">
        <v>66</v>
      </c>
      <c r="F26" s="11" t="s">
        <v>55</v>
      </c>
      <c r="G26" s="0" t="n">
        <v>6</v>
      </c>
      <c r="H26" s="20" t="n">
        <v>2937.42</v>
      </c>
      <c r="I26" s="11" t="s">
        <v>39</v>
      </c>
      <c r="J26" s="11" t="s">
        <v>85</v>
      </c>
      <c r="K26" s="11" t="s">
        <v>47</v>
      </c>
      <c r="L26" s="20" t="n">
        <f aca="false">G26*H26</f>
        <v>17624.52</v>
      </c>
    </row>
    <row r="27" customFormat="false" ht="15" hidden="false" customHeight="false" outlineLevel="0" collapsed="false">
      <c r="A27" s="0" t="n">
        <v>1176</v>
      </c>
      <c r="B27" s="19" t="n">
        <v>45496</v>
      </c>
      <c r="C27" s="11" t="s">
        <v>123</v>
      </c>
      <c r="D27" s="11" t="s">
        <v>112</v>
      </c>
      <c r="E27" s="11" t="s">
        <v>50</v>
      </c>
      <c r="F27" s="11" t="s">
        <v>99</v>
      </c>
      <c r="G27" s="0" t="n">
        <v>9</v>
      </c>
      <c r="H27" s="20" t="n">
        <v>1693.72</v>
      </c>
      <c r="I27" s="11" t="s">
        <v>39</v>
      </c>
      <c r="J27" s="11" t="s">
        <v>115</v>
      </c>
      <c r="K27" s="11" t="s">
        <v>494</v>
      </c>
      <c r="L27" s="20" t="n">
        <f aca="false">G27*H27</f>
        <v>15243.48</v>
      </c>
    </row>
    <row r="28" customFormat="false" ht="15" hidden="false" customHeight="false" outlineLevel="0" collapsed="false">
      <c r="A28" s="0" t="n">
        <v>1107</v>
      </c>
      <c r="B28" s="19" t="n">
        <v>45542</v>
      </c>
      <c r="C28" s="11" t="s">
        <v>124</v>
      </c>
      <c r="D28" s="11" t="s">
        <v>59</v>
      </c>
      <c r="E28" s="11" t="s">
        <v>50</v>
      </c>
      <c r="F28" s="11" t="s">
        <v>72</v>
      </c>
      <c r="G28" s="0" t="n">
        <v>1</v>
      </c>
      <c r="H28" s="20" t="n">
        <v>2077.04</v>
      </c>
      <c r="I28" s="11" t="s">
        <v>52</v>
      </c>
      <c r="J28" s="11" t="s">
        <v>85</v>
      </c>
      <c r="K28" s="11" t="s">
        <v>63</v>
      </c>
      <c r="L28" s="20" t="n">
        <f aca="false">G28*H28</f>
        <v>2077.04</v>
      </c>
    </row>
    <row r="29" customFormat="false" ht="15" hidden="false" customHeight="false" outlineLevel="0" collapsed="false">
      <c r="A29" s="0" t="n">
        <v>1246</v>
      </c>
      <c r="B29" s="19" t="n">
        <v>45501</v>
      </c>
      <c r="C29" s="11" t="s">
        <v>80</v>
      </c>
      <c r="D29" s="11" t="s">
        <v>59</v>
      </c>
      <c r="E29" s="11" t="s">
        <v>60</v>
      </c>
      <c r="F29" s="11" t="s">
        <v>106</v>
      </c>
      <c r="G29" s="0" t="n">
        <v>4</v>
      </c>
      <c r="H29" s="20" t="n">
        <v>772.99</v>
      </c>
      <c r="I29" s="11" t="s">
        <v>52</v>
      </c>
      <c r="J29" s="11" t="s">
        <v>85</v>
      </c>
      <c r="K29" s="11" t="s">
        <v>74</v>
      </c>
      <c r="L29" s="20" t="n">
        <f aca="false">G29*H29</f>
        <v>3091.96</v>
      </c>
    </row>
    <row r="30" customFormat="false" ht="15" hidden="false" customHeight="false" outlineLevel="0" collapsed="false">
      <c r="A30" s="0" t="n">
        <v>1044</v>
      </c>
      <c r="B30" s="19" t="n">
        <v>45437</v>
      </c>
      <c r="C30" s="11" t="s">
        <v>127</v>
      </c>
      <c r="D30" s="11" t="s">
        <v>112</v>
      </c>
      <c r="E30" s="11" t="s">
        <v>50</v>
      </c>
      <c r="F30" s="11" t="s">
        <v>72</v>
      </c>
      <c r="G30" s="0" t="n">
        <v>2</v>
      </c>
      <c r="H30" s="20" t="n">
        <v>2458.9</v>
      </c>
      <c r="I30" s="11" t="s">
        <v>52</v>
      </c>
      <c r="J30" s="11" t="s">
        <v>85</v>
      </c>
      <c r="K30" s="11" t="s">
        <v>58</v>
      </c>
      <c r="L30" s="20" t="n">
        <f aca="false">G30*H30</f>
        <v>4917.8</v>
      </c>
    </row>
    <row r="31" customFormat="false" ht="15" hidden="false" customHeight="false" outlineLevel="0" collapsed="false">
      <c r="A31" s="0" t="n">
        <v>1109</v>
      </c>
      <c r="B31" s="19" t="n">
        <v>45620</v>
      </c>
      <c r="C31" s="11" t="s">
        <v>128</v>
      </c>
      <c r="D31" s="11" t="s">
        <v>82</v>
      </c>
      <c r="E31" s="11" t="s">
        <v>83</v>
      </c>
      <c r="F31" s="11" t="s">
        <v>129</v>
      </c>
      <c r="G31" s="0" t="n">
        <v>6</v>
      </c>
      <c r="H31" s="20" t="n">
        <v>745.84</v>
      </c>
      <c r="I31" s="11" t="s">
        <v>52</v>
      </c>
      <c r="J31" s="11" t="s">
        <v>115</v>
      </c>
      <c r="K31" s="11" t="s">
        <v>41</v>
      </c>
      <c r="L31" s="20" t="n">
        <f aca="false">G31*H31</f>
        <v>4475.04</v>
      </c>
    </row>
    <row r="32" customFormat="false" ht="15" hidden="false" customHeight="false" outlineLevel="0" collapsed="false">
      <c r="A32" s="0" t="n">
        <v>1267</v>
      </c>
      <c r="B32" s="19" t="n">
        <v>45361</v>
      </c>
      <c r="C32" s="11" t="s">
        <v>130</v>
      </c>
      <c r="D32" s="11" t="s">
        <v>59</v>
      </c>
      <c r="E32" s="11" t="s">
        <v>66</v>
      </c>
      <c r="F32" s="11" t="s">
        <v>78</v>
      </c>
      <c r="G32" s="0" t="n">
        <v>3</v>
      </c>
      <c r="H32" s="20" t="n">
        <v>2110.25</v>
      </c>
      <c r="I32" s="11" t="s">
        <v>52</v>
      </c>
      <c r="J32" s="11" t="s">
        <v>115</v>
      </c>
      <c r="K32" s="11" t="s">
        <v>80</v>
      </c>
      <c r="L32" s="20" t="n">
        <f aca="false">G32*H32</f>
        <v>6330.75</v>
      </c>
    </row>
    <row r="33" customFormat="false" ht="15" hidden="false" customHeight="false" outlineLevel="0" collapsed="false">
      <c r="A33" s="0" t="n">
        <v>1179</v>
      </c>
      <c r="B33" s="19" t="n">
        <v>45338</v>
      </c>
      <c r="C33" s="11" t="s">
        <v>111</v>
      </c>
      <c r="D33" s="11" t="s">
        <v>77</v>
      </c>
      <c r="E33" s="11" t="s">
        <v>494</v>
      </c>
      <c r="F33" s="11" t="s">
        <v>103</v>
      </c>
      <c r="G33" s="0" t="n">
        <v>4</v>
      </c>
      <c r="H33" s="20" t="n">
        <v>661.13</v>
      </c>
      <c r="I33" s="11" t="s">
        <v>39</v>
      </c>
      <c r="J33" s="11" t="s">
        <v>115</v>
      </c>
      <c r="K33" s="11" t="s">
        <v>53</v>
      </c>
      <c r="L33" s="20" t="n">
        <f aca="false">G33*H33</f>
        <v>2644.52</v>
      </c>
    </row>
    <row r="34" customFormat="false" ht="15" hidden="false" customHeight="false" outlineLevel="0" collapsed="false">
      <c r="A34" s="0" t="n">
        <v>1242</v>
      </c>
      <c r="B34" s="19" t="n">
        <v>45596</v>
      </c>
      <c r="C34" s="11" t="s">
        <v>136</v>
      </c>
      <c r="D34" s="11" t="s">
        <v>77</v>
      </c>
      <c r="E34" s="11" t="s">
        <v>37</v>
      </c>
      <c r="F34" s="11" t="s">
        <v>38</v>
      </c>
      <c r="G34" s="0" t="n">
        <v>2</v>
      </c>
      <c r="H34" s="20" t="n">
        <v>423.76</v>
      </c>
      <c r="I34" s="11" t="s">
        <v>46</v>
      </c>
      <c r="J34" s="11" t="s">
        <v>85</v>
      </c>
      <c r="K34" s="11" t="s">
        <v>494</v>
      </c>
      <c r="L34" s="20" t="n">
        <f aca="false">G34*H34</f>
        <v>847.52</v>
      </c>
    </row>
    <row r="35" customFormat="false" ht="15" hidden="false" customHeight="false" outlineLevel="0" collapsed="false">
      <c r="A35" s="0" t="n">
        <v>1118</v>
      </c>
      <c r="B35" s="19" t="n">
        <v>45326</v>
      </c>
      <c r="C35" s="11" t="s">
        <v>494</v>
      </c>
      <c r="D35" s="11" t="s">
        <v>65</v>
      </c>
      <c r="E35" s="11" t="s">
        <v>37</v>
      </c>
      <c r="F35" s="11" t="s">
        <v>38</v>
      </c>
      <c r="G35" s="0" t="n">
        <v>2</v>
      </c>
      <c r="H35" s="20" t="n">
        <v>1306.99</v>
      </c>
      <c r="I35" s="11" t="s">
        <v>39</v>
      </c>
      <c r="J35" s="11" t="s">
        <v>115</v>
      </c>
      <c r="K35" s="11" t="s">
        <v>53</v>
      </c>
      <c r="L35" s="20" t="n">
        <f aca="false">G35*H35</f>
        <v>2613.98</v>
      </c>
    </row>
    <row r="36" customFormat="false" ht="15" hidden="false" customHeight="false" outlineLevel="0" collapsed="false">
      <c r="A36" s="0" t="n">
        <v>1043</v>
      </c>
      <c r="B36" s="19" t="n">
        <v>45588</v>
      </c>
      <c r="C36" s="11" t="s">
        <v>139</v>
      </c>
      <c r="D36" s="11" t="s">
        <v>112</v>
      </c>
      <c r="E36" s="11" t="s">
        <v>37</v>
      </c>
      <c r="F36" s="11" t="s">
        <v>38</v>
      </c>
      <c r="G36" s="0" t="n">
        <v>8</v>
      </c>
      <c r="H36" s="20" t="n">
        <v>1336.52</v>
      </c>
      <c r="I36" s="11" t="s">
        <v>52</v>
      </c>
      <c r="J36" s="11" t="s">
        <v>85</v>
      </c>
      <c r="K36" s="11" t="s">
        <v>80</v>
      </c>
      <c r="L36" s="20" t="n">
        <f aca="false">G36*H36</f>
        <v>10692.16</v>
      </c>
    </row>
    <row r="37" customFormat="false" ht="15" hidden="false" customHeight="false" outlineLevel="0" collapsed="false">
      <c r="A37" s="0" t="n">
        <v>1052</v>
      </c>
      <c r="B37" s="19" t="n">
        <v>45507</v>
      </c>
      <c r="C37" s="11" t="s">
        <v>140</v>
      </c>
      <c r="D37" s="11" t="s">
        <v>82</v>
      </c>
      <c r="E37" s="11" t="s">
        <v>83</v>
      </c>
      <c r="F37" s="11" t="s">
        <v>129</v>
      </c>
      <c r="G37" s="0" t="n">
        <v>10</v>
      </c>
      <c r="H37" s="20" t="n">
        <v>1153.54</v>
      </c>
      <c r="I37" s="11" t="s">
        <v>46</v>
      </c>
      <c r="J37" s="11" t="s">
        <v>85</v>
      </c>
      <c r="K37" s="11" t="s">
        <v>47</v>
      </c>
      <c r="L37" s="20" t="n">
        <f aca="false">G37*H37</f>
        <v>11535.4</v>
      </c>
    </row>
    <row r="38" customFormat="false" ht="15" hidden="false" customHeight="false" outlineLevel="0" collapsed="false">
      <c r="A38" s="0" t="n">
        <v>1245</v>
      </c>
      <c r="B38" s="19" t="n">
        <v>45350</v>
      </c>
      <c r="C38" s="11" t="s">
        <v>143</v>
      </c>
      <c r="D38" s="11" t="s">
        <v>43</v>
      </c>
      <c r="E38" s="11" t="s">
        <v>102</v>
      </c>
      <c r="F38" s="11" t="s">
        <v>144</v>
      </c>
      <c r="G38" s="0" t="n">
        <v>9</v>
      </c>
      <c r="H38" s="20" t="n">
        <v>100.21</v>
      </c>
      <c r="I38" s="11" t="s">
        <v>68</v>
      </c>
      <c r="J38" s="11" t="s">
        <v>115</v>
      </c>
      <c r="K38" s="11" t="s">
        <v>63</v>
      </c>
      <c r="L38" s="20" t="n">
        <f aca="false">G38*H38</f>
        <v>901.89</v>
      </c>
    </row>
    <row r="39" customFormat="false" ht="15" hidden="false" customHeight="false" outlineLevel="0" collapsed="false">
      <c r="A39" s="0" t="n">
        <v>1263</v>
      </c>
      <c r="B39" s="19" t="n">
        <v>45479</v>
      </c>
      <c r="C39" s="11" t="s">
        <v>145</v>
      </c>
      <c r="D39" s="11" t="s">
        <v>82</v>
      </c>
      <c r="E39" s="11" t="s">
        <v>494</v>
      </c>
      <c r="F39" s="11" t="s">
        <v>95</v>
      </c>
      <c r="G39" s="0" t="n">
        <v>8</v>
      </c>
      <c r="H39" s="20" t="n">
        <v>1648.13</v>
      </c>
      <c r="I39" s="11" t="s">
        <v>68</v>
      </c>
      <c r="J39" s="11" t="s">
        <v>115</v>
      </c>
      <c r="K39" s="11" t="s">
        <v>58</v>
      </c>
      <c r="L39" s="20" t="n">
        <f aca="false">G39*H39</f>
        <v>13185.04</v>
      </c>
    </row>
    <row r="40" customFormat="false" ht="15" hidden="false" customHeight="false" outlineLevel="0" collapsed="false">
      <c r="A40" s="0" t="n">
        <v>1175</v>
      </c>
      <c r="B40" s="19" t="n">
        <v>45372</v>
      </c>
      <c r="C40" s="11" t="s">
        <v>125</v>
      </c>
      <c r="D40" s="11" t="s">
        <v>77</v>
      </c>
      <c r="E40" s="11" t="s">
        <v>83</v>
      </c>
      <c r="F40" s="11" t="s">
        <v>146</v>
      </c>
      <c r="G40" s="0" t="n">
        <v>8</v>
      </c>
      <c r="H40" s="20" t="n">
        <v>627.99</v>
      </c>
      <c r="I40" s="11" t="s">
        <v>52</v>
      </c>
      <c r="J40" s="11" t="s">
        <v>85</v>
      </c>
      <c r="K40" s="11" t="s">
        <v>86</v>
      </c>
      <c r="L40" s="20" t="n">
        <f aca="false">G40*H40</f>
        <v>5023.92</v>
      </c>
    </row>
    <row r="41" customFormat="false" ht="15" hidden="false" customHeight="false" outlineLevel="0" collapsed="false">
      <c r="A41" s="0" t="n">
        <v>1093</v>
      </c>
      <c r="B41" s="19" t="n">
        <v>45514</v>
      </c>
      <c r="C41" s="11" t="s">
        <v>147</v>
      </c>
      <c r="D41" s="11" t="s">
        <v>65</v>
      </c>
      <c r="E41" s="11" t="s">
        <v>37</v>
      </c>
      <c r="F41" s="11" t="s">
        <v>108</v>
      </c>
      <c r="G41" s="0" t="n">
        <v>8</v>
      </c>
      <c r="H41" s="20" t="n">
        <v>515.77</v>
      </c>
      <c r="I41" s="11" t="s">
        <v>39</v>
      </c>
      <c r="J41" s="11" t="s">
        <v>115</v>
      </c>
      <c r="K41" s="11" t="s">
        <v>53</v>
      </c>
      <c r="L41" s="20" t="n">
        <f aca="false">G41*H41</f>
        <v>4126.16</v>
      </c>
    </row>
    <row r="42" customFormat="false" ht="15" hidden="false" customHeight="false" outlineLevel="0" collapsed="false">
      <c r="A42" s="0" t="n">
        <v>1169</v>
      </c>
      <c r="B42" s="19" t="n">
        <v>45561</v>
      </c>
      <c r="C42" s="11" t="s">
        <v>149</v>
      </c>
      <c r="D42" s="11" t="s">
        <v>49</v>
      </c>
      <c r="E42" s="11" t="s">
        <v>50</v>
      </c>
      <c r="F42" s="11" t="s">
        <v>150</v>
      </c>
      <c r="G42" s="0" t="n">
        <v>10</v>
      </c>
      <c r="H42" s="20" t="n">
        <v>239.78</v>
      </c>
      <c r="I42" s="11" t="s">
        <v>39</v>
      </c>
      <c r="J42" s="11" t="s">
        <v>115</v>
      </c>
      <c r="K42" s="11" t="s">
        <v>63</v>
      </c>
      <c r="L42" s="20" t="n">
        <f aca="false">G42*H42</f>
        <v>2397.8</v>
      </c>
    </row>
    <row r="43" customFormat="false" ht="15" hidden="false" customHeight="false" outlineLevel="0" collapsed="false">
      <c r="A43" s="0" t="n">
        <v>1196</v>
      </c>
      <c r="B43" s="19" t="n">
        <v>45310</v>
      </c>
      <c r="C43" s="11" t="s">
        <v>140</v>
      </c>
      <c r="D43" s="11" t="s">
        <v>77</v>
      </c>
      <c r="E43" s="11" t="s">
        <v>102</v>
      </c>
      <c r="F43" s="11" t="s">
        <v>121</v>
      </c>
      <c r="G43" s="0" t="n">
        <v>3</v>
      </c>
      <c r="H43" s="20" t="n">
        <v>2811.09</v>
      </c>
      <c r="I43" s="11" t="s">
        <v>39</v>
      </c>
      <c r="J43" s="11" t="s">
        <v>115</v>
      </c>
      <c r="K43" s="11" t="s">
        <v>53</v>
      </c>
      <c r="L43" s="20" t="n">
        <f aca="false">G43*H43</f>
        <v>8433.27</v>
      </c>
    </row>
    <row r="44" customFormat="false" ht="15" hidden="false" customHeight="false" outlineLevel="0" collapsed="false">
      <c r="A44" s="0" t="n">
        <v>1144</v>
      </c>
      <c r="B44" s="19" t="n">
        <v>45521</v>
      </c>
      <c r="C44" s="11" t="s">
        <v>153</v>
      </c>
      <c r="D44" s="11" t="s">
        <v>36</v>
      </c>
      <c r="E44" s="11" t="s">
        <v>66</v>
      </c>
      <c r="F44" s="11" t="s">
        <v>55</v>
      </c>
      <c r="G44" s="0" t="n">
        <v>5</v>
      </c>
      <c r="H44" s="20" t="n">
        <v>2897.48</v>
      </c>
      <c r="I44" s="11" t="s">
        <v>68</v>
      </c>
      <c r="J44" s="11" t="s">
        <v>115</v>
      </c>
      <c r="K44" s="11" t="s">
        <v>86</v>
      </c>
      <c r="L44" s="20" t="n">
        <f aca="false">G44*H44</f>
        <v>14487.4</v>
      </c>
    </row>
    <row r="45" customFormat="false" ht="15" hidden="false" customHeight="false" outlineLevel="0" collapsed="false">
      <c r="A45" s="0" t="n">
        <v>1297</v>
      </c>
      <c r="B45" s="19" t="n">
        <v>45589</v>
      </c>
      <c r="C45" s="11" t="s">
        <v>154</v>
      </c>
      <c r="D45" s="11" t="s">
        <v>43</v>
      </c>
      <c r="E45" s="11" t="s">
        <v>102</v>
      </c>
      <c r="F45" s="11" t="s">
        <v>103</v>
      </c>
      <c r="G45" s="0" t="n">
        <v>7</v>
      </c>
      <c r="H45" s="20" t="n">
        <v>242.99</v>
      </c>
      <c r="I45" s="11" t="s">
        <v>46</v>
      </c>
      <c r="J45" s="11" t="s">
        <v>85</v>
      </c>
      <c r="K45" s="11" t="s">
        <v>80</v>
      </c>
      <c r="L45" s="20" t="n">
        <f aca="false">G45*H45</f>
        <v>1700.93</v>
      </c>
    </row>
    <row r="46" customFormat="false" ht="15" hidden="false" customHeight="false" outlineLevel="0" collapsed="false">
      <c r="A46" s="0" t="n">
        <v>1250</v>
      </c>
      <c r="B46" s="19" t="n">
        <v>45639</v>
      </c>
      <c r="C46" s="11" t="s">
        <v>155</v>
      </c>
      <c r="D46" s="11" t="s">
        <v>43</v>
      </c>
      <c r="E46" s="11" t="s">
        <v>102</v>
      </c>
      <c r="F46" s="11" t="s">
        <v>110</v>
      </c>
      <c r="G46" s="0" t="n">
        <v>6</v>
      </c>
      <c r="H46" s="20" t="n">
        <v>2993.15</v>
      </c>
      <c r="I46" s="11" t="s">
        <v>68</v>
      </c>
      <c r="J46" s="11" t="s">
        <v>115</v>
      </c>
      <c r="K46" s="11" t="s">
        <v>47</v>
      </c>
      <c r="L46" s="20" t="n">
        <f aca="false">G46*H46</f>
        <v>17958.9</v>
      </c>
    </row>
    <row r="47" customFormat="false" ht="15" hidden="false" customHeight="false" outlineLevel="0" collapsed="false">
      <c r="A47" s="0" t="n">
        <v>1032</v>
      </c>
      <c r="B47" s="19" t="n">
        <v>45293</v>
      </c>
      <c r="C47" s="11" t="s">
        <v>157</v>
      </c>
      <c r="D47" s="11" t="s">
        <v>43</v>
      </c>
      <c r="E47" s="11" t="s">
        <v>60</v>
      </c>
      <c r="F47" s="11" t="s">
        <v>106</v>
      </c>
      <c r="G47" s="0" t="n">
        <v>5</v>
      </c>
      <c r="H47" s="20" t="n">
        <v>501.51</v>
      </c>
      <c r="I47" s="11" t="s">
        <v>68</v>
      </c>
      <c r="J47" s="11" t="s">
        <v>85</v>
      </c>
      <c r="K47" s="11" t="s">
        <v>53</v>
      </c>
      <c r="L47" s="20" t="n">
        <f aca="false">G47*H47</f>
        <v>2507.55</v>
      </c>
    </row>
    <row r="48" customFormat="false" ht="15" hidden="false" customHeight="false" outlineLevel="0" collapsed="false">
      <c r="A48" s="0" t="n">
        <v>1277</v>
      </c>
      <c r="B48" s="19" t="n">
        <v>45327</v>
      </c>
      <c r="C48" s="11" t="s">
        <v>158</v>
      </c>
      <c r="D48" s="11" t="s">
        <v>82</v>
      </c>
      <c r="E48" s="11" t="s">
        <v>37</v>
      </c>
      <c r="F48" s="11" t="s">
        <v>159</v>
      </c>
      <c r="G48" s="0" t="n">
        <v>10</v>
      </c>
      <c r="H48" s="20" t="n">
        <v>1957.06</v>
      </c>
      <c r="I48" s="11" t="s">
        <v>68</v>
      </c>
      <c r="J48" s="11" t="s">
        <v>85</v>
      </c>
      <c r="K48" s="11" t="s">
        <v>58</v>
      </c>
      <c r="L48" s="20" t="n">
        <f aca="false">G48*H48</f>
        <v>19570.6</v>
      </c>
    </row>
    <row r="49" customFormat="false" ht="15" hidden="false" customHeight="false" outlineLevel="0" collapsed="false">
      <c r="A49" s="0" t="n">
        <v>1079</v>
      </c>
      <c r="B49" s="19" t="n">
        <v>45513</v>
      </c>
      <c r="C49" s="11" t="s">
        <v>160</v>
      </c>
      <c r="D49" s="11" t="s">
        <v>59</v>
      </c>
      <c r="E49" s="11" t="s">
        <v>66</v>
      </c>
      <c r="F49" s="11" t="s">
        <v>78</v>
      </c>
      <c r="G49" s="0" t="n">
        <v>1</v>
      </c>
      <c r="H49" s="20" t="n">
        <v>292.15</v>
      </c>
      <c r="I49" s="11" t="s">
        <v>46</v>
      </c>
      <c r="J49" s="11" t="s">
        <v>85</v>
      </c>
      <c r="K49" s="11" t="s">
        <v>53</v>
      </c>
      <c r="L49" s="20" t="n">
        <f aca="false">G49*H49</f>
        <v>292.15</v>
      </c>
    </row>
    <row r="50" customFormat="false" ht="15" hidden="false" customHeight="false" outlineLevel="0" collapsed="false">
      <c r="A50" s="0" t="n">
        <v>1143</v>
      </c>
      <c r="B50" s="19" t="n">
        <v>45370</v>
      </c>
      <c r="C50" s="11" t="s">
        <v>119</v>
      </c>
      <c r="D50" s="11" t="s">
        <v>494</v>
      </c>
      <c r="E50" s="11" t="s">
        <v>66</v>
      </c>
      <c r="F50" s="11" t="s">
        <v>45</v>
      </c>
      <c r="G50" s="0" t="n">
        <v>8</v>
      </c>
      <c r="H50" s="20" t="n">
        <v>150.2</v>
      </c>
      <c r="I50" s="11" t="s">
        <v>39</v>
      </c>
      <c r="J50" s="11" t="s">
        <v>115</v>
      </c>
      <c r="K50" s="11" t="s">
        <v>63</v>
      </c>
      <c r="L50" s="20" t="n">
        <f aca="false">G50*H50</f>
        <v>1201.6</v>
      </c>
    </row>
    <row r="51" customFormat="false" ht="15" hidden="false" customHeight="false" outlineLevel="0" collapsed="false">
      <c r="A51" s="0" t="n">
        <v>1072</v>
      </c>
      <c r="B51" s="19" t="n">
        <v>45421</v>
      </c>
      <c r="C51" s="11" t="s">
        <v>161</v>
      </c>
      <c r="D51" s="11" t="s">
        <v>65</v>
      </c>
      <c r="E51" s="11" t="s">
        <v>37</v>
      </c>
      <c r="F51" s="11" t="s">
        <v>108</v>
      </c>
      <c r="G51" s="0" t="n">
        <v>7</v>
      </c>
      <c r="H51" s="20" t="n">
        <v>1485.4</v>
      </c>
      <c r="I51" s="11" t="s">
        <v>46</v>
      </c>
      <c r="J51" s="11" t="s">
        <v>115</v>
      </c>
      <c r="K51" s="11" t="s">
        <v>80</v>
      </c>
      <c r="L51" s="20" t="n">
        <f aca="false">G51*H51</f>
        <v>10397.8</v>
      </c>
    </row>
    <row r="52" customFormat="false" ht="15" hidden="false" customHeight="false" outlineLevel="0" collapsed="false">
      <c r="A52" s="0" t="n">
        <v>1064</v>
      </c>
      <c r="B52" s="19" t="n">
        <v>45634</v>
      </c>
      <c r="C52" s="11" t="s">
        <v>162</v>
      </c>
      <c r="D52" s="11" t="s">
        <v>82</v>
      </c>
      <c r="E52" s="11" t="s">
        <v>66</v>
      </c>
      <c r="F52" s="11" t="s">
        <v>67</v>
      </c>
      <c r="G52" s="0" t="n">
        <v>8</v>
      </c>
      <c r="H52" s="20" t="n">
        <v>2555.84</v>
      </c>
      <c r="I52" s="11" t="s">
        <v>52</v>
      </c>
      <c r="J52" s="11" t="s">
        <v>85</v>
      </c>
      <c r="K52" s="11" t="s">
        <v>58</v>
      </c>
      <c r="L52" s="20" t="n">
        <f aca="false">G52*H52</f>
        <v>20446.72</v>
      </c>
    </row>
    <row r="53" customFormat="false" ht="15" hidden="false" customHeight="false" outlineLevel="0" collapsed="false">
      <c r="A53" s="0" t="n">
        <v>1235</v>
      </c>
      <c r="B53" s="19" t="n">
        <v>45596</v>
      </c>
      <c r="C53" s="11" t="s">
        <v>140</v>
      </c>
      <c r="D53" s="11" t="s">
        <v>112</v>
      </c>
      <c r="E53" s="11" t="s">
        <v>66</v>
      </c>
      <c r="F53" s="11" t="s">
        <v>67</v>
      </c>
      <c r="G53" s="0" t="n">
        <v>1</v>
      </c>
      <c r="H53" s="20" t="n">
        <v>1909.69</v>
      </c>
      <c r="I53" s="11" t="s">
        <v>68</v>
      </c>
      <c r="J53" s="11" t="s">
        <v>85</v>
      </c>
      <c r="K53" s="11" t="s">
        <v>58</v>
      </c>
      <c r="L53" s="20" t="n">
        <f aca="false">G53*H53</f>
        <v>1909.69</v>
      </c>
    </row>
    <row r="54" customFormat="false" ht="15" hidden="false" customHeight="false" outlineLevel="0" collapsed="false">
      <c r="A54" s="0" t="n">
        <v>1149</v>
      </c>
      <c r="B54" s="19" t="n">
        <v>45342</v>
      </c>
      <c r="C54" s="11" t="s">
        <v>157</v>
      </c>
      <c r="D54" s="11" t="s">
        <v>43</v>
      </c>
      <c r="E54" s="11" t="s">
        <v>83</v>
      </c>
      <c r="F54" s="11" t="s">
        <v>164</v>
      </c>
      <c r="G54" s="0" t="n">
        <v>3</v>
      </c>
      <c r="H54" s="20" t="n">
        <v>134.14</v>
      </c>
      <c r="I54" s="11" t="s">
        <v>68</v>
      </c>
      <c r="J54" s="11" t="s">
        <v>115</v>
      </c>
      <c r="K54" s="11" t="s">
        <v>63</v>
      </c>
      <c r="L54" s="20" t="n">
        <f aca="false">G54*H54</f>
        <v>402.42</v>
      </c>
    </row>
    <row r="55" customFormat="false" ht="15" hidden="false" customHeight="false" outlineLevel="0" collapsed="false">
      <c r="A55" s="0" t="n">
        <v>1203</v>
      </c>
      <c r="B55" s="19" t="n">
        <v>45536</v>
      </c>
      <c r="C55" s="11" t="s">
        <v>165</v>
      </c>
      <c r="D55" s="11" t="s">
        <v>112</v>
      </c>
      <c r="E55" s="11" t="s">
        <v>37</v>
      </c>
      <c r="F55" s="11" t="s">
        <v>159</v>
      </c>
      <c r="G55" s="0" t="n">
        <v>7</v>
      </c>
      <c r="H55" s="20" t="n">
        <v>2111.78</v>
      </c>
      <c r="I55" s="11" t="s">
        <v>68</v>
      </c>
      <c r="J55" s="11" t="s">
        <v>115</v>
      </c>
      <c r="K55" s="11" t="s">
        <v>58</v>
      </c>
      <c r="L55" s="20" t="n">
        <f aca="false">G55*H55</f>
        <v>14782.46</v>
      </c>
    </row>
    <row r="56" customFormat="false" ht="15" hidden="false" customHeight="false" outlineLevel="0" collapsed="false">
      <c r="A56" s="0" t="n">
        <v>1130</v>
      </c>
      <c r="B56" s="19" t="n">
        <v>45527</v>
      </c>
      <c r="C56" s="11" t="s">
        <v>166</v>
      </c>
      <c r="D56" s="11" t="s">
        <v>49</v>
      </c>
      <c r="E56" s="11" t="s">
        <v>37</v>
      </c>
      <c r="F56" s="11" t="s">
        <v>167</v>
      </c>
      <c r="G56" s="0" t="n">
        <v>2</v>
      </c>
      <c r="H56" s="20" t="n">
        <v>745.08</v>
      </c>
      <c r="I56" s="11" t="s">
        <v>68</v>
      </c>
      <c r="J56" s="11" t="s">
        <v>115</v>
      </c>
      <c r="K56" s="11" t="s">
        <v>74</v>
      </c>
      <c r="L56" s="20" t="n">
        <f aca="false">G56*H56</f>
        <v>1490.16</v>
      </c>
    </row>
    <row r="57" customFormat="false" ht="15" hidden="false" customHeight="false" outlineLevel="0" collapsed="false">
      <c r="A57" s="0" t="n">
        <v>1001</v>
      </c>
      <c r="B57" s="19" t="n">
        <v>45304</v>
      </c>
      <c r="C57" s="11" t="s">
        <v>168</v>
      </c>
      <c r="D57" s="11" t="s">
        <v>36</v>
      </c>
      <c r="E57" s="11" t="s">
        <v>50</v>
      </c>
      <c r="F57" s="11" t="s">
        <v>72</v>
      </c>
      <c r="G57" s="0" t="n">
        <v>3</v>
      </c>
      <c r="H57" s="20" t="n">
        <v>2214.68</v>
      </c>
      <c r="I57" s="11" t="s">
        <v>46</v>
      </c>
      <c r="J57" s="11" t="s">
        <v>85</v>
      </c>
      <c r="K57" s="11" t="s">
        <v>494</v>
      </c>
      <c r="L57" s="20" t="n">
        <f aca="false">G57*H57</f>
        <v>6644.04</v>
      </c>
    </row>
    <row r="58" customFormat="false" ht="15" hidden="false" customHeight="false" outlineLevel="0" collapsed="false">
      <c r="A58" s="0" t="n">
        <v>1041</v>
      </c>
      <c r="B58" s="19" t="n">
        <v>45551</v>
      </c>
      <c r="C58" s="11" t="s">
        <v>169</v>
      </c>
      <c r="D58" s="11" t="s">
        <v>49</v>
      </c>
      <c r="E58" s="11" t="s">
        <v>50</v>
      </c>
      <c r="F58" s="11" t="s">
        <v>99</v>
      </c>
      <c r="G58" s="0" t="n">
        <v>6</v>
      </c>
      <c r="H58" s="20" t="n">
        <v>1219.15</v>
      </c>
      <c r="I58" s="11" t="s">
        <v>39</v>
      </c>
      <c r="J58" s="11" t="s">
        <v>115</v>
      </c>
      <c r="K58" s="11" t="s">
        <v>58</v>
      </c>
      <c r="L58" s="20" t="n">
        <f aca="false">G58*H58</f>
        <v>7314.9</v>
      </c>
    </row>
    <row r="59" customFormat="false" ht="15" hidden="false" customHeight="false" outlineLevel="0" collapsed="false">
      <c r="A59" s="0" t="n">
        <v>1075</v>
      </c>
      <c r="B59" s="19" t="n">
        <v>45372</v>
      </c>
      <c r="C59" s="11" t="s">
        <v>170</v>
      </c>
      <c r="D59" s="11" t="s">
        <v>65</v>
      </c>
      <c r="E59" s="11" t="s">
        <v>60</v>
      </c>
      <c r="F59" s="11" t="s">
        <v>106</v>
      </c>
      <c r="G59" s="0" t="n">
        <v>3</v>
      </c>
      <c r="H59" s="20" t="n">
        <v>27.97</v>
      </c>
      <c r="I59" s="11" t="s">
        <v>68</v>
      </c>
      <c r="J59" s="11" t="s">
        <v>85</v>
      </c>
      <c r="K59" s="11" t="s">
        <v>47</v>
      </c>
      <c r="L59" s="20" t="n">
        <f aca="false">G59*H59</f>
        <v>83.91</v>
      </c>
    </row>
    <row r="60" customFormat="false" ht="15" hidden="false" customHeight="false" outlineLevel="0" collapsed="false">
      <c r="A60" s="0" t="n">
        <v>1202</v>
      </c>
      <c r="B60" s="19" t="n">
        <v>45643</v>
      </c>
      <c r="C60" s="11" t="s">
        <v>494</v>
      </c>
      <c r="D60" s="11" t="s">
        <v>59</v>
      </c>
      <c r="E60" s="11" t="s">
        <v>37</v>
      </c>
      <c r="F60" s="11" t="s">
        <v>38</v>
      </c>
      <c r="G60" s="0" t="n">
        <v>2</v>
      </c>
      <c r="H60" s="20" t="n">
        <v>1923.36</v>
      </c>
      <c r="I60" s="11" t="s">
        <v>39</v>
      </c>
      <c r="J60" s="11" t="s">
        <v>85</v>
      </c>
      <c r="K60" s="11" t="s">
        <v>58</v>
      </c>
      <c r="L60" s="20" t="n">
        <f aca="false">G60*H60</f>
        <v>3846.72</v>
      </c>
    </row>
    <row r="61" customFormat="false" ht="15" hidden="false" customHeight="false" outlineLevel="0" collapsed="false">
      <c r="A61" s="0" t="n">
        <v>1162</v>
      </c>
      <c r="B61" s="19" t="n">
        <v>45603</v>
      </c>
      <c r="C61" s="11" t="s">
        <v>171</v>
      </c>
      <c r="D61" s="11" t="s">
        <v>43</v>
      </c>
      <c r="E61" s="11" t="s">
        <v>83</v>
      </c>
      <c r="F61" s="11" t="s">
        <v>129</v>
      </c>
      <c r="G61" s="0" t="n">
        <v>2</v>
      </c>
      <c r="H61" s="20" t="n">
        <v>723.27</v>
      </c>
      <c r="I61" s="11" t="s">
        <v>39</v>
      </c>
      <c r="J61" s="11" t="s">
        <v>85</v>
      </c>
      <c r="K61" s="11" t="s">
        <v>74</v>
      </c>
      <c r="L61" s="20" t="n">
        <f aca="false">G61*H61</f>
        <v>1446.54</v>
      </c>
    </row>
    <row r="62" customFormat="false" ht="15" hidden="false" customHeight="false" outlineLevel="0" collapsed="false">
      <c r="A62" s="0" t="n">
        <v>1168</v>
      </c>
      <c r="B62" s="19" t="n">
        <v>45585</v>
      </c>
      <c r="C62" s="11" t="s">
        <v>172</v>
      </c>
      <c r="D62" s="11" t="s">
        <v>43</v>
      </c>
      <c r="E62" s="11" t="s">
        <v>60</v>
      </c>
      <c r="F62" s="11" t="s">
        <v>95</v>
      </c>
      <c r="G62" s="0" t="n">
        <v>10</v>
      </c>
      <c r="H62" s="20" t="n">
        <v>2655.05</v>
      </c>
      <c r="I62" s="11" t="s">
        <v>46</v>
      </c>
      <c r="J62" s="11" t="s">
        <v>85</v>
      </c>
      <c r="K62" s="11" t="s">
        <v>74</v>
      </c>
      <c r="L62" s="20" t="n">
        <f aca="false">G62*H62</f>
        <v>26550.5</v>
      </c>
    </row>
    <row r="63" customFormat="false" ht="15" hidden="false" customHeight="false" outlineLevel="0" collapsed="false">
      <c r="A63" s="0" t="n">
        <v>1095</v>
      </c>
      <c r="B63" s="19" t="n">
        <v>45604</v>
      </c>
      <c r="C63" s="11" t="s">
        <v>173</v>
      </c>
      <c r="D63" s="11" t="s">
        <v>36</v>
      </c>
      <c r="E63" s="11" t="s">
        <v>37</v>
      </c>
      <c r="F63" s="11" t="s">
        <v>108</v>
      </c>
      <c r="G63" s="0" t="n">
        <v>8</v>
      </c>
      <c r="H63" s="20" t="n">
        <v>2740.23</v>
      </c>
      <c r="I63" s="11" t="s">
        <v>52</v>
      </c>
      <c r="J63" s="11" t="s">
        <v>115</v>
      </c>
      <c r="K63" s="11" t="s">
        <v>63</v>
      </c>
      <c r="L63" s="20" t="n">
        <f aca="false">G63*H63</f>
        <v>21921.84</v>
      </c>
    </row>
    <row r="64" customFormat="false" ht="15" hidden="false" customHeight="false" outlineLevel="0" collapsed="false">
      <c r="A64" s="0" t="n">
        <v>1283</v>
      </c>
      <c r="B64" s="19" t="n">
        <v>45402</v>
      </c>
      <c r="C64" s="11" t="s">
        <v>175</v>
      </c>
      <c r="D64" s="11" t="s">
        <v>49</v>
      </c>
      <c r="E64" s="11" t="s">
        <v>83</v>
      </c>
      <c r="F64" s="11" t="s">
        <v>164</v>
      </c>
      <c r="G64" s="0" t="n">
        <v>9</v>
      </c>
      <c r="H64" s="20" t="n">
        <v>873.73</v>
      </c>
      <c r="I64" s="11" t="s">
        <v>68</v>
      </c>
      <c r="J64" s="11" t="s">
        <v>85</v>
      </c>
      <c r="K64" s="11" t="s">
        <v>74</v>
      </c>
      <c r="L64" s="20" t="n">
        <f aca="false">G64*H64</f>
        <v>7863.57</v>
      </c>
    </row>
    <row r="65" customFormat="false" ht="15" hidden="false" customHeight="false" outlineLevel="0" collapsed="false">
      <c r="A65" s="0" t="n">
        <v>1040</v>
      </c>
      <c r="B65" s="19" t="n">
        <v>45292</v>
      </c>
      <c r="C65" s="11" t="s">
        <v>177</v>
      </c>
      <c r="D65" s="11" t="s">
        <v>36</v>
      </c>
      <c r="E65" s="11" t="s">
        <v>50</v>
      </c>
      <c r="F65" s="11" t="s">
        <v>150</v>
      </c>
      <c r="G65" s="0" t="n">
        <v>6</v>
      </c>
      <c r="H65" s="20" t="n">
        <v>1305.27</v>
      </c>
      <c r="I65" s="11" t="s">
        <v>39</v>
      </c>
      <c r="J65" s="11" t="s">
        <v>85</v>
      </c>
      <c r="K65" s="11" t="s">
        <v>41</v>
      </c>
      <c r="L65" s="20" t="n">
        <f aca="false">G65*H65</f>
        <v>7831.62</v>
      </c>
    </row>
    <row r="66" customFormat="false" ht="15" hidden="false" customHeight="false" outlineLevel="0" collapsed="false">
      <c r="A66" s="0" t="n">
        <v>1051</v>
      </c>
      <c r="B66" s="19" t="n">
        <v>45647</v>
      </c>
      <c r="C66" s="11" t="s">
        <v>92</v>
      </c>
      <c r="D66" s="11" t="s">
        <v>36</v>
      </c>
      <c r="E66" s="11" t="s">
        <v>37</v>
      </c>
      <c r="F66" s="11" t="s">
        <v>38</v>
      </c>
      <c r="G66" s="0" t="n">
        <v>2</v>
      </c>
      <c r="H66" s="20" t="n">
        <v>1256.31</v>
      </c>
      <c r="I66" s="11" t="s">
        <v>39</v>
      </c>
      <c r="J66" s="11" t="s">
        <v>85</v>
      </c>
      <c r="K66" s="11" t="s">
        <v>74</v>
      </c>
      <c r="L66" s="20" t="n">
        <f aca="false">G66*H66</f>
        <v>2512.62</v>
      </c>
    </row>
    <row r="67" customFormat="false" ht="15" hidden="false" customHeight="false" outlineLevel="0" collapsed="false">
      <c r="A67" s="0" t="n">
        <v>1260</v>
      </c>
      <c r="B67" s="19" t="n">
        <v>45609</v>
      </c>
      <c r="C67" s="11" t="s">
        <v>178</v>
      </c>
      <c r="D67" s="11" t="s">
        <v>112</v>
      </c>
      <c r="E67" s="11" t="s">
        <v>60</v>
      </c>
      <c r="F67" s="11" t="s">
        <v>117</v>
      </c>
      <c r="G67" s="0" t="n">
        <v>1</v>
      </c>
      <c r="H67" s="20" t="n">
        <v>1464.13</v>
      </c>
      <c r="I67" s="11" t="s">
        <v>52</v>
      </c>
      <c r="J67" s="11" t="s">
        <v>85</v>
      </c>
      <c r="K67" s="11" t="s">
        <v>63</v>
      </c>
      <c r="L67" s="20" t="n">
        <f aca="false">G67*H67</f>
        <v>1464.13</v>
      </c>
    </row>
    <row r="68" customFormat="false" ht="15" hidden="false" customHeight="false" outlineLevel="0" collapsed="false">
      <c r="A68" s="0" t="n">
        <v>1248</v>
      </c>
      <c r="B68" s="19" t="n">
        <v>45596</v>
      </c>
      <c r="C68" s="11" t="s">
        <v>179</v>
      </c>
      <c r="D68" s="11" t="s">
        <v>36</v>
      </c>
      <c r="E68" s="11" t="s">
        <v>50</v>
      </c>
      <c r="F68" s="11" t="s">
        <v>51</v>
      </c>
      <c r="G68" s="0" t="n">
        <v>6</v>
      </c>
      <c r="H68" s="20" t="n">
        <v>515.69</v>
      </c>
      <c r="I68" s="11" t="s">
        <v>46</v>
      </c>
      <c r="J68" s="11" t="s">
        <v>85</v>
      </c>
      <c r="K68" s="11" t="s">
        <v>86</v>
      </c>
      <c r="L68" s="20" t="n">
        <f aca="false">G68*H68</f>
        <v>3094.14</v>
      </c>
    </row>
    <row r="69" customFormat="false" ht="15" hidden="false" customHeight="false" outlineLevel="0" collapsed="false">
      <c r="A69" s="0" t="n">
        <v>1102</v>
      </c>
      <c r="B69" s="19" t="n">
        <v>45443</v>
      </c>
      <c r="C69" s="11" t="s">
        <v>157</v>
      </c>
      <c r="D69" s="11" t="s">
        <v>65</v>
      </c>
      <c r="E69" s="11" t="s">
        <v>60</v>
      </c>
      <c r="F69" s="11" t="s">
        <v>117</v>
      </c>
      <c r="G69" s="0" t="n">
        <v>8</v>
      </c>
      <c r="H69" s="20" t="n">
        <v>2889.42</v>
      </c>
      <c r="I69" s="11" t="s">
        <v>52</v>
      </c>
      <c r="J69" s="11" t="s">
        <v>115</v>
      </c>
      <c r="K69" s="11" t="s">
        <v>181</v>
      </c>
      <c r="L69" s="20" t="n">
        <f aca="false">G69*H69</f>
        <v>23115.36</v>
      </c>
    </row>
    <row r="70" customFormat="false" ht="15" hidden="false" customHeight="false" outlineLevel="0" collapsed="false">
      <c r="A70" s="0" t="n">
        <v>1189</v>
      </c>
      <c r="B70" s="19" t="n">
        <v>45452</v>
      </c>
      <c r="C70" s="11" t="s">
        <v>182</v>
      </c>
      <c r="D70" s="11" t="s">
        <v>112</v>
      </c>
      <c r="E70" s="11" t="s">
        <v>66</v>
      </c>
      <c r="F70" s="11" t="s">
        <v>45</v>
      </c>
      <c r="G70" s="0" t="n">
        <v>9</v>
      </c>
      <c r="H70" s="20" t="n">
        <v>1075.78</v>
      </c>
      <c r="I70" s="11" t="s">
        <v>39</v>
      </c>
      <c r="J70" s="11" t="s">
        <v>85</v>
      </c>
      <c r="K70" s="11" t="s">
        <v>58</v>
      </c>
      <c r="L70" s="20" t="n">
        <f aca="false">G70*H70</f>
        <v>9682.02</v>
      </c>
    </row>
    <row r="71" customFormat="false" ht="15" hidden="false" customHeight="false" outlineLevel="0" collapsed="false">
      <c r="A71" s="0" t="n">
        <v>1227</v>
      </c>
      <c r="B71" s="19" t="n">
        <v>45608</v>
      </c>
      <c r="C71" s="11" t="s">
        <v>186</v>
      </c>
      <c r="D71" s="11" t="s">
        <v>77</v>
      </c>
      <c r="E71" s="11" t="s">
        <v>60</v>
      </c>
      <c r="F71" s="11" t="s">
        <v>106</v>
      </c>
      <c r="G71" s="0" t="n">
        <v>1</v>
      </c>
      <c r="H71" s="20" t="n">
        <v>39.7</v>
      </c>
      <c r="I71" s="11" t="s">
        <v>68</v>
      </c>
      <c r="J71" s="11" t="s">
        <v>115</v>
      </c>
      <c r="K71" s="11" t="s">
        <v>53</v>
      </c>
      <c r="L71" s="20" t="n">
        <f aca="false">G71*H71</f>
        <v>39.7</v>
      </c>
    </row>
    <row r="72" customFormat="false" ht="15" hidden="false" customHeight="false" outlineLevel="0" collapsed="false">
      <c r="A72" s="0" t="n">
        <v>1012</v>
      </c>
      <c r="B72" s="19" t="n">
        <v>45597</v>
      </c>
      <c r="C72" s="11" t="s">
        <v>294</v>
      </c>
      <c r="D72" s="11" t="s">
        <v>59</v>
      </c>
      <c r="E72" s="11" t="s">
        <v>102</v>
      </c>
      <c r="F72" s="11" t="s">
        <v>110</v>
      </c>
      <c r="G72" s="0" t="n">
        <v>9</v>
      </c>
      <c r="H72" s="20" t="n">
        <v>2585.12</v>
      </c>
      <c r="I72" s="11" t="s">
        <v>46</v>
      </c>
      <c r="J72" s="11" t="s">
        <v>115</v>
      </c>
      <c r="K72" s="11" t="s">
        <v>47</v>
      </c>
      <c r="L72" s="20" t="n">
        <f aca="false">G72*H72</f>
        <v>23266.08</v>
      </c>
    </row>
    <row r="73" customFormat="false" ht="15" hidden="false" customHeight="false" outlineLevel="0" collapsed="false">
      <c r="A73" s="0" t="n">
        <v>1294</v>
      </c>
      <c r="B73" s="19" t="n">
        <v>45392</v>
      </c>
      <c r="C73" s="11" t="s">
        <v>190</v>
      </c>
      <c r="D73" s="11" t="s">
        <v>36</v>
      </c>
      <c r="E73" s="11" t="s">
        <v>66</v>
      </c>
      <c r="F73" s="11" t="s">
        <v>45</v>
      </c>
      <c r="G73" s="0" t="n">
        <v>3</v>
      </c>
      <c r="H73" s="20" t="n">
        <v>39.01</v>
      </c>
      <c r="I73" s="11" t="s">
        <v>68</v>
      </c>
      <c r="J73" s="11" t="s">
        <v>115</v>
      </c>
      <c r="K73" s="11" t="s">
        <v>58</v>
      </c>
      <c r="L73" s="20" t="n">
        <f aca="false">G73*H73</f>
        <v>117.03</v>
      </c>
    </row>
    <row r="74" customFormat="false" ht="15" hidden="false" customHeight="false" outlineLevel="0" collapsed="false">
      <c r="A74" s="0" t="n">
        <v>1175</v>
      </c>
      <c r="B74" s="19" t="n">
        <v>45372</v>
      </c>
      <c r="C74" s="11" t="s">
        <v>125</v>
      </c>
      <c r="D74" s="11" t="s">
        <v>77</v>
      </c>
      <c r="E74" s="11" t="s">
        <v>83</v>
      </c>
      <c r="F74" s="11" t="s">
        <v>146</v>
      </c>
      <c r="G74" s="0" t="n">
        <v>8</v>
      </c>
      <c r="H74" s="20" t="n">
        <v>627.99</v>
      </c>
      <c r="I74" s="11" t="s">
        <v>52</v>
      </c>
      <c r="J74" s="11" t="s">
        <v>85</v>
      </c>
      <c r="K74" s="11" t="s">
        <v>86</v>
      </c>
      <c r="L74" s="20" t="n">
        <f aca="false">G74*H74</f>
        <v>5023.92</v>
      </c>
    </row>
    <row r="75" customFormat="false" ht="15" hidden="false" customHeight="false" outlineLevel="0" collapsed="false">
      <c r="A75" s="0" t="n">
        <v>1089</v>
      </c>
      <c r="B75" s="19" t="n">
        <v>45314</v>
      </c>
      <c r="C75" s="11" t="s">
        <v>494</v>
      </c>
      <c r="D75" s="11" t="s">
        <v>77</v>
      </c>
      <c r="E75" s="11" t="s">
        <v>37</v>
      </c>
      <c r="F75" s="11" t="s">
        <v>38</v>
      </c>
      <c r="G75" s="0" t="n">
        <v>7</v>
      </c>
      <c r="H75" s="20" t="n">
        <v>1170.51</v>
      </c>
      <c r="I75" s="11" t="s">
        <v>52</v>
      </c>
      <c r="J75" s="11" t="s">
        <v>85</v>
      </c>
      <c r="K75" s="11" t="s">
        <v>494</v>
      </c>
      <c r="L75" s="20" t="n">
        <f aca="false">G75*H75</f>
        <v>8193.57</v>
      </c>
    </row>
    <row r="76" customFormat="false" ht="15" hidden="false" customHeight="false" outlineLevel="0" collapsed="false">
      <c r="A76" s="0" t="n">
        <v>1232</v>
      </c>
      <c r="B76" s="19" t="n">
        <v>45646</v>
      </c>
      <c r="C76" s="11" t="s">
        <v>305</v>
      </c>
      <c r="D76" s="11" t="s">
        <v>59</v>
      </c>
      <c r="E76" s="11" t="s">
        <v>37</v>
      </c>
      <c r="F76" s="11" t="s">
        <v>159</v>
      </c>
      <c r="G76" s="0" t="n">
        <v>1</v>
      </c>
      <c r="H76" s="20" t="n">
        <v>2773.99</v>
      </c>
      <c r="I76" s="11" t="s">
        <v>39</v>
      </c>
      <c r="J76" s="11" t="s">
        <v>115</v>
      </c>
      <c r="K76" s="11" t="s">
        <v>80</v>
      </c>
      <c r="L76" s="20" t="n">
        <f aca="false">G76*H76</f>
        <v>2773.99</v>
      </c>
    </row>
    <row r="77" customFormat="false" ht="15" hidden="false" customHeight="false" outlineLevel="0" collapsed="false">
      <c r="A77" s="0" t="n">
        <v>1124</v>
      </c>
      <c r="B77" s="19" t="n">
        <v>45582</v>
      </c>
      <c r="C77" s="11" t="s">
        <v>195</v>
      </c>
      <c r="D77" s="11" t="s">
        <v>494</v>
      </c>
      <c r="E77" s="11" t="s">
        <v>50</v>
      </c>
      <c r="F77" s="11" t="s">
        <v>99</v>
      </c>
      <c r="G77" s="0" t="n">
        <v>3</v>
      </c>
      <c r="H77" s="20" t="n">
        <v>489.08</v>
      </c>
      <c r="I77" s="11" t="s">
        <v>46</v>
      </c>
      <c r="J77" s="11" t="s">
        <v>115</v>
      </c>
      <c r="K77" s="11" t="s">
        <v>47</v>
      </c>
      <c r="L77" s="20" t="n">
        <f aca="false">G77*H77</f>
        <v>1467.24</v>
      </c>
    </row>
    <row r="78" customFormat="false" ht="15" hidden="false" customHeight="false" outlineLevel="0" collapsed="false">
      <c r="A78" s="0" t="n">
        <v>1056</v>
      </c>
      <c r="B78" s="19" t="n">
        <v>45434</v>
      </c>
      <c r="C78" s="11" t="s">
        <v>196</v>
      </c>
      <c r="D78" s="11" t="s">
        <v>65</v>
      </c>
      <c r="E78" s="11" t="s">
        <v>60</v>
      </c>
      <c r="F78" s="11" t="s">
        <v>117</v>
      </c>
      <c r="G78" s="0" t="n">
        <v>8</v>
      </c>
      <c r="H78" s="20" t="n">
        <v>77.76</v>
      </c>
      <c r="I78" s="11" t="s">
        <v>46</v>
      </c>
      <c r="J78" s="11" t="s">
        <v>85</v>
      </c>
      <c r="K78" s="11" t="s">
        <v>58</v>
      </c>
      <c r="L78" s="20" t="n">
        <f aca="false">G78*H78</f>
        <v>622.08</v>
      </c>
    </row>
    <row r="79" customFormat="false" ht="15" hidden="false" customHeight="false" outlineLevel="0" collapsed="false">
      <c r="A79" s="0" t="n">
        <v>1212</v>
      </c>
      <c r="B79" s="19" t="n">
        <v>45343</v>
      </c>
      <c r="C79" s="11" t="s">
        <v>128</v>
      </c>
      <c r="D79" s="11" t="s">
        <v>77</v>
      </c>
      <c r="E79" s="11" t="s">
        <v>37</v>
      </c>
      <c r="F79" s="11" t="s">
        <v>108</v>
      </c>
      <c r="G79" s="0" t="n">
        <v>10</v>
      </c>
      <c r="H79" s="20" t="n">
        <v>2022.63</v>
      </c>
      <c r="I79" s="11" t="s">
        <v>46</v>
      </c>
      <c r="J79" s="11" t="s">
        <v>115</v>
      </c>
      <c r="K79" s="11" t="s">
        <v>53</v>
      </c>
      <c r="L79" s="20" t="n">
        <f aca="false">G79*H79</f>
        <v>20226.3</v>
      </c>
    </row>
    <row r="80" customFormat="false" ht="15" hidden="false" customHeight="false" outlineLevel="0" collapsed="false">
      <c r="A80" s="0" t="n">
        <v>1216</v>
      </c>
      <c r="B80" s="19" t="n">
        <v>45648</v>
      </c>
      <c r="C80" s="11" t="s">
        <v>197</v>
      </c>
      <c r="D80" s="11" t="s">
        <v>43</v>
      </c>
      <c r="E80" s="11" t="s">
        <v>66</v>
      </c>
      <c r="F80" s="11" t="s">
        <v>55</v>
      </c>
      <c r="G80" s="0" t="n">
        <v>5</v>
      </c>
      <c r="H80" s="20" t="n">
        <v>1141.85</v>
      </c>
      <c r="I80" s="11" t="s">
        <v>68</v>
      </c>
      <c r="J80" s="11" t="s">
        <v>115</v>
      </c>
      <c r="K80" s="11" t="s">
        <v>58</v>
      </c>
      <c r="L80" s="20" t="n">
        <f aca="false">G80*H80</f>
        <v>5709.25</v>
      </c>
    </row>
    <row r="81" customFormat="false" ht="15" hidden="false" customHeight="false" outlineLevel="0" collapsed="false">
      <c r="A81" s="0" t="n">
        <v>1186</v>
      </c>
      <c r="B81" s="19" t="n">
        <v>45597</v>
      </c>
      <c r="C81" s="11" t="s">
        <v>116</v>
      </c>
      <c r="D81" s="11" t="s">
        <v>36</v>
      </c>
      <c r="E81" s="11" t="s">
        <v>50</v>
      </c>
      <c r="F81" s="11" t="s">
        <v>72</v>
      </c>
      <c r="G81" s="0" t="n">
        <v>1</v>
      </c>
      <c r="H81" s="20" t="n">
        <v>1758.9</v>
      </c>
      <c r="I81" s="11" t="s">
        <v>52</v>
      </c>
      <c r="J81" s="11" t="s">
        <v>85</v>
      </c>
      <c r="K81" s="11" t="s">
        <v>198</v>
      </c>
      <c r="L81" s="20" t="n">
        <f aca="false">G81*H81</f>
        <v>1758.9</v>
      </c>
    </row>
    <row r="82" customFormat="false" ht="15" hidden="false" customHeight="false" outlineLevel="0" collapsed="false">
      <c r="A82" s="0" t="n">
        <v>1195</v>
      </c>
      <c r="B82" s="19" t="n">
        <v>45439</v>
      </c>
      <c r="C82" s="11" t="s">
        <v>199</v>
      </c>
      <c r="D82" s="11" t="s">
        <v>82</v>
      </c>
      <c r="E82" s="11" t="s">
        <v>102</v>
      </c>
      <c r="F82" s="11" t="s">
        <v>121</v>
      </c>
      <c r="G82" s="0" t="n">
        <v>2</v>
      </c>
      <c r="H82" s="20" t="n">
        <v>1963.85</v>
      </c>
      <c r="I82" s="11" t="s">
        <v>52</v>
      </c>
      <c r="J82" s="11" t="s">
        <v>115</v>
      </c>
      <c r="K82" s="11" t="s">
        <v>80</v>
      </c>
      <c r="L82" s="20" t="n">
        <f aca="false">G82*H82</f>
        <v>3927.7</v>
      </c>
    </row>
    <row r="83" customFormat="false" ht="15" hidden="false" customHeight="false" outlineLevel="0" collapsed="false">
      <c r="A83" s="0" t="n">
        <v>1214</v>
      </c>
      <c r="B83" s="19" t="n">
        <v>45636</v>
      </c>
      <c r="C83" s="11" t="s">
        <v>184</v>
      </c>
      <c r="D83" s="11" t="s">
        <v>59</v>
      </c>
      <c r="E83" s="11" t="s">
        <v>66</v>
      </c>
      <c r="F83" s="11" t="s">
        <v>67</v>
      </c>
      <c r="G83" s="0" t="n">
        <v>3</v>
      </c>
      <c r="H83" s="20" t="n">
        <v>2957.37</v>
      </c>
      <c r="I83" s="11" t="s">
        <v>52</v>
      </c>
      <c r="J83" s="11" t="s">
        <v>85</v>
      </c>
      <c r="K83" s="11" t="s">
        <v>47</v>
      </c>
      <c r="L83" s="20" t="n">
        <f aca="false">G83*H83</f>
        <v>8872.11</v>
      </c>
    </row>
    <row r="84" customFormat="false" ht="15" hidden="false" customHeight="false" outlineLevel="0" collapsed="false">
      <c r="A84" s="0" t="n">
        <v>1298</v>
      </c>
      <c r="B84" s="19" t="n">
        <v>45425</v>
      </c>
      <c r="C84" s="11" t="s">
        <v>157</v>
      </c>
      <c r="D84" s="11" t="s">
        <v>49</v>
      </c>
      <c r="E84" s="11" t="s">
        <v>37</v>
      </c>
      <c r="F84" s="11" t="s">
        <v>93</v>
      </c>
      <c r="G84" s="0" t="n">
        <v>6</v>
      </c>
      <c r="H84" s="20" t="n">
        <v>967.81</v>
      </c>
      <c r="I84" s="11" t="s">
        <v>39</v>
      </c>
      <c r="J84" s="11" t="s">
        <v>115</v>
      </c>
      <c r="K84" s="11" t="s">
        <v>41</v>
      </c>
      <c r="L84" s="20" t="n">
        <f aca="false">G84*H84</f>
        <v>5806.86</v>
      </c>
    </row>
    <row r="85" customFormat="false" ht="15" hidden="false" customHeight="false" outlineLevel="0" collapsed="false">
      <c r="A85" s="0" t="n">
        <v>1170</v>
      </c>
      <c r="B85" s="19" t="n">
        <v>45468</v>
      </c>
      <c r="C85" s="11" t="s">
        <v>200</v>
      </c>
      <c r="D85" s="11" t="s">
        <v>43</v>
      </c>
      <c r="E85" s="11" t="s">
        <v>102</v>
      </c>
      <c r="F85" s="11" t="s">
        <v>151</v>
      </c>
      <c r="G85" s="0" t="n">
        <v>3</v>
      </c>
      <c r="H85" s="20" t="n">
        <v>1309.2</v>
      </c>
      <c r="I85" s="11" t="s">
        <v>46</v>
      </c>
      <c r="J85" s="11" t="s">
        <v>115</v>
      </c>
      <c r="K85" s="11" t="s">
        <v>80</v>
      </c>
      <c r="L85" s="20" t="n">
        <f aca="false">G85*H85</f>
        <v>3927.6</v>
      </c>
    </row>
    <row r="86" customFormat="false" ht="15" hidden="false" customHeight="false" outlineLevel="0" collapsed="false">
      <c r="A86" s="0" t="n">
        <v>1226</v>
      </c>
      <c r="B86" s="19" t="n">
        <v>45295</v>
      </c>
      <c r="C86" s="11" t="s">
        <v>134</v>
      </c>
      <c r="D86" s="11" t="s">
        <v>36</v>
      </c>
      <c r="E86" s="11" t="s">
        <v>50</v>
      </c>
      <c r="F86" s="11" t="s">
        <v>72</v>
      </c>
      <c r="G86" s="0" t="n">
        <v>2</v>
      </c>
      <c r="H86" s="20" t="n">
        <v>2127.37</v>
      </c>
      <c r="I86" s="11" t="s">
        <v>46</v>
      </c>
      <c r="J86" s="11" t="s">
        <v>115</v>
      </c>
      <c r="K86" s="11" t="s">
        <v>63</v>
      </c>
      <c r="L86" s="20" t="n">
        <f aca="false">G86*H86</f>
        <v>4254.74</v>
      </c>
    </row>
    <row r="87" customFormat="false" ht="15" hidden="false" customHeight="false" outlineLevel="0" collapsed="false">
      <c r="A87" s="0" t="n">
        <v>1274</v>
      </c>
      <c r="B87" s="19" t="n">
        <v>45650</v>
      </c>
      <c r="C87" s="11" t="s">
        <v>201</v>
      </c>
      <c r="D87" s="11" t="s">
        <v>65</v>
      </c>
      <c r="E87" s="11" t="s">
        <v>50</v>
      </c>
      <c r="F87" s="11" t="s">
        <v>99</v>
      </c>
      <c r="G87" s="0" t="n">
        <v>2</v>
      </c>
      <c r="H87" s="20" t="n">
        <v>23.24</v>
      </c>
      <c r="I87" s="11" t="s">
        <v>68</v>
      </c>
      <c r="J87" s="11" t="s">
        <v>115</v>
      </c>
      <c r="K87" s="11" t="s">
        <v>80</v>
      </c>
      <c r="L87" s="20" t="n">
        <f aca="false">G87*H87</f>
        <v>46.48</v>
      </c>
    </row>
    <row r="88" customFormat="false" ht="15" hidden="false" customHeight="false" outlineLevel="0" collapsed="false">
      <c r="A88" s="0" t="n">
        <v>1221</v>
      </c>
      <c r="B88" s="19" t="n">
        <v>45436</v>
      </c>
      <c r="C88" s="11" t="s">
        <v>494</v>
      </c>
      <c r="D88" s="11" t="s">
        <v>112</v>
      </c>
      <c r="E88" s="11" t="s">
        <v>66</v>
      </c>
      <c r="F88" s="11" t="s">
        <v>55</v>
      </c>
      <c r="G88" s="0" t="n">
        <v>5</v>
      </c>
      <c r="H88" s="20" t="n">
        <v>799.45</v>
      </c>
      <c r="I88" s="11" t="s">
        <v>68</v>
      </c>
      <c r="J88" s="11" t="s">
        <v>85</v>
      </c>
      <c r="K88" s="11" t="s">
        <v>41</v>
      </c>
      <c r="L88" s="20" t="n">
        <f aca="false">G88*H88</f>
        <v>3997.25</v>
      </c>
    </row>
    <row r="89" customFormat="false" ht="15" hidden="false" customHeight="false" outlineLevel="0" collapsed="false">
      <c r="A89" s="0" t="n">
        <v>1225</v>
      </c>
      <c r="B89" s="19" t="n">
        <v>45378</v>
      </c>
      <c r="C89" s="11" t="s">
        <v>92</v>
      </c>
      <c r="D89" s="11" t="s">
        <v>77</v>
      </c>
      <c r="E89" s="11" t="s">
        <v>37</v>
      </c>
      <c r="F89" s="11" t="s">
        <v>93</v>
      </c>
      <c r="G89" s="0" t="n">
        <v>3</v>
      </c>
      <c r="H89" s="20" t="n">
        <v>2752.36</v>
      </c>
      <c r="I89" s="11" t="s">
        <v>46</v>
      </c>
      <c r="J89" s="11" t="s">
        <v>115</v>
      </c>
      <c r="K89" s="11" t="s">
        <v>41</v>
      </c>
      <c r="L89" s="20" t="n">
        <f aca="false">G89*H89</f>
        <v>8257.08</v>
      </c>
    </row>
    <row r="90" customFormat="false" ht="15" hidden="false" customHeight="false" outlineLevel="0" collapsed="false">
      <c r="A90" s="0" t="n">
        <v>1080</v>
      </c>
      <c r="B90" s="19" t="n">
        <v>45557</v>
      </c>
      <c r="C90" s="11" t="s">
        <v>203</v>
      </c>
      <c r="D90" s="11" t="s">
        <v>43</v>
      </c>
      <c r="E90" s="11" t="s">
        <v>37</v>
      </c>
      <c r="F90" s="11" t="s">
        <v>38</v>
      </c>
      <c r="G90" s="0" t="n">
        <v>10</v>
      </c>
      <c r="H90" s="20" t="n">
        <v>1318.94</v>
      </c>
      <c r="I90" s="11" t="s">
        <v>68</v>
      </c>
      <c r="J90" s="11" t="s">
        <v>115</v>
      </c>
      <c r="K90" s="11" t="s">
        <v>63</v>
      </c>
      <c r="L90" s="20" t="n">
        <f aca="false">G90*H90</f>
        <v>13189.4</v>
      </c>
    </row>
    <row r="91" customFormat="false" ht="15" hidden="false" customHeight="false" outlineLevel="0" collapsed="false">
      <c r="A91" s="0" t="n">
        <v>1206</v>
      </c>
      <c r="B91" s="19" t="n">
        <v>45359</v>
      </c>
      <c r="C91" s="11" t="s">
        <v>74</v>
      </c>
      <c r="D91" s="11" t="s">
        <v>77</v>
      </c>
      <c r="E91" s="11" t="s">
        <v>494</v>
      </c>
      <c r="F91" s="11" t="s">
        <v>84</v>
      </c>
      <c r="G91" s="0" t="n">
        <v>10</v>
      </c>
      <c r="H91" s="20" t="n">
        <v>192.06</v>
      </c>
      <c r="I91" s="11" t="s">
        <v>68</v>
      </c>
      <c r="J91" s="11" t="s">
        <v>85</v>
      </c>
      <c r="K91" s="11" t="s">
        <v>53</v>
      </c>
      <c r="L91" s="20" t="n">
        <f aca="false">G91*H91</f>
        <v>1920.6</v>
      </c>
    </row>
    <row r="92" customFormat="false" ht="15" hidden="false" customHeight="false" outlineLevel="0" collapsed="false">
      <c r="A92" s="0" t="n">
        <v>1148</v>
      </c>
      <c r="B92" s="19" t="n">
        <v>45319</v>
      </c>
      <c r="C92" s="11" t="s">
        <v>111</v>
      </c>
      <c r="D92" s="11" t="s">
        <v>112</v>
      </c>
      <c r="E92" s="11" t="s">
        <v>83</v>
      </c>
      <c r="F92" s="11" t="s">
        <v>84</v>
      </c>
      <c r="G92" s="0" t="n">
        <v>4</v>
      </c>
      <c r="H92" s="20" t="n">
        <v>1170.78</v>
      </c>
      <c r="I92" s="11" t="s">
        <v>46</v>
      </c>
      <c r="J92" s="11" t="s">
        <v>85</v>
      </c>
      <c r="K92" s="11" t="s">
        <v>58</v>
      </c>
      <c r="L92" s="20" t="n">
        <f aca="false">G92*H92</f>
        <v>4683.12</v>
      </c>
    </row>
    <row r="93" customFormat="false" ht="15" hidden="false" customHeight="false" outlineLevel="0" collapsed="false">
      <c r="A93" s="0" t="n">
        <v>1045</v>
      </c>
      <c r="B93" s="19" t="n">
        <v>45304</v>
      </c>
      <c r="C93" s="11" t="s">
        <v>205</v>
      </c>
      <c r="D93" s="11" t="s">
        <v>77</v>
      </c>
      <c r="E93" s="11" t="s">
        <v>37</v>
      </c>
      <c r="F93" s="11" t="s">
        <v>159</v>
      </c>
      <c r="G93" s="0" t="n">
        <v>10</v>
      </c>
      <c r="H93" s="20" t="n">
        <v>2552.22</v>
      </c>
      <c r="I93" s="11" t="s">
        <v>46</v>
      </c>
      <c r="J93" s="11" t="s">
        <v>85</v>
      </c>
      <c r="K93" s="11" t="s">
        <v>74</v>
      </c>
      <c r="L93" s="20" t="n">
        <f aca="false">G93*H93</f>
        <v>25522.2</v>
      </c>
    </row>
    <row r="94" customFormat="false" ht="15" hidden="false" customHeight="false" outlineLevel="0" collapsed="false">
      <c r="A94" s="0" t="n">
        <v>1087</v>
      </c>
      <c r="B94" s="19" t="n">
        <v>45504</v>
      </c>
      <c r="C94" s="11" t="s">
        <v>157</v>
      </c>
      <c r="D94" s="11" t="s">
        <v>59</v>
      </c>
      <c r="E94" s="11" t="s">
        <v>83</v>
      </c>
      <c r="F94" s="11" t="s">
        <v>164</v>
      </c>
      <c r="G94" s="0" t="n">
        <v>1</v>
      </c>
      <c r="H94" s="20" t="n">
        <v>862.86</v>
      </c>
      <c r="I94" s="11" t="s">
        <v>39</v>
      </c>
      <c r="J94" s="11" t="s">
        <v>85</v>
      </c>
      <c r="K94" s="11" t="s">
        <v>80</v>
      </c>
      <c r="L94" s="20" t="n">
        <f aca="false">G94*H94</f>
        <v>862.86</v>
      </c>
    </row>
    <row r="95" customFormat="false" ht="15" hidden="false" customHeight="false" outlineLevel="0" collapsed="false">
      <c r="A95" s="0" t="n">
        <v>1069</v>
      </c>
      <c r="B95" s="19" t="n">
        <v>45566</v>
      </c>
      <c r="C95" s="11" t="s">
        <v>207</v>
      </c>
      <c r="D95" s="11" t="s">
        <v>36</v>
      </c>
      <c r="E95" s="11" t="s">
        <v>60</v>
      </c>
      <c r="F95" s="11" t="s">
        <v>106</v>
      </c>
      <c r="G95" s="0" t="n">
        <v>8</v>
      </c>
      <c r="H95" s="20" t="n">
        <v>843.97</v>
      </c>
      <c r="I95" s="11" t="s">
        <v>39</v>
      </c>
      <c r="J95" s="11" t="s">
        <v>115</v>
      </c>
      <c r="K95" s="11" t="s">
        <v>58</v>
      </c>
      <c r="L95" s="20" t="n">
        <f aca="false">G95*H95</f>
        <v>6751.76</v>
      </c>
    </row>
    <row r="96" customFormat="false" ht="15" hidden="false" customHeight="false" outlineLevel="0" collapsed="false">
      <c r="A96" s="0" t="n">
        <v>1017</v>
      </c>
      <c r="B96" s="19" t="n">
        <v>45496</v>
      </c>
      <c r="C96" s="11" t="s">
        <v>172</v>
      </c>
      <c r="D96" s="11" t="s">
        <v>77</v>
      </c>
      <c r="E96" s="11" t="s">
        <v>50</v>
      </c>
      <c r="F96" s="11" t="s">
        <v>99</v>
      </c>
      <c r="G96" s="0" t="n">
        <v>2</v>
      </c>
      <c r="H96" s="20" t="n">
        <v>758.76</v>
      </c>
      <c r="I96" s="11" t="s">
        <v>494</v>
      </c>
      <c r="J96" s="11" t="s">
        <v>85</v>
      </c>
      <c r="K96" s="11" t="s">
        <v>53</v>
      </c>
      <c r="L96" s="20" t="n">
        <f aca="false">G96*H96</f>
        <v>1517.52</v>
      </c>
    </row>
    <row r="97" customFormat="false" ht="15" hidden="false" customHeight="false" outlineLevel="0" collapsed="false">
      <c r="A97" s="0" t="n">
        <v>1178</v>
      </c>
      <c r="B97" s="19" t="n">
        <v>45587</v>
      </c>
      <c r="C97" s="11" t="s">
        <v>184</v>
      </c>
      <c r="D97" s="11" t="s">
        <v>43</v>
      </c>
      <c r="E97" s="11" t="s">
        <v>37</v>
      </c>
      <c r="F97" s="11" t="s">
        <v>93</v>
      </c>
      <c r="G97" s="0" t="n">
        <v>8</v>
      </c>
      <c r="H97" s="20" t="n">
        <v>2987.99</v>
      </c>
      <c r="I97" s="11" t="s">
        <v>68</v>
      </c>
      <c r="J97" s="11" t="s">
        <v>85</v>
      </c>
      <c r="K97" s="11" t="s">
        <v>47</v>
      </c>
      <c r="L97" s="20" t="n">
        <f aca="false">G97*H97</f>
        <v>23903.92</v>
      </c>
    </row>
    <row r="98" customFormat="false" ht="15" hidden="false" customHeight="false" outlineLevel="0" collapsed="false">
      <c r="A98" s="0" t="n">
        <v>1145</v>
      </c>
      <c r="B98" s="19" t="n">
        <v>45517</v>
      </c>
      <c r="C98" s="11" t="s">
        <v>211</v>
      </c>
      <c r="D98" s="11" t="s">
        <v>59</v>
      </c>
      <c r="E98" s="11" t="s">
        <v>50</v>
      </c>
      <c r="F98" s="11" t="s">
        <v>51</v>
      </c>
      <c r="G98" s="0" t="n">
        <v>7</v>
      </c>
      <c r="H98" s="20" t="n">
        <v>1518.66</v>
      </c>
      <c r="I98" s="11" t="s">
        <v>68</v>
      </c>
      <c r="J98" s="11" t="s">
        <v>115</v>
      </c>
      <c r="K98" s="11" t="s">
        <v>58</v>
      </c>
      <c r="L98" s="20" t="n">
        <f aca="false">G98*H98</f>
        <v>10630.62</v>
      </c>
    </row>
    <row r="99" customFormat="false" ht="15" hidden="false" customHeight="false" outlineLevel="0" collapsed="false">
      <c r="A99" s="0" t="n">
        <v>1153</v>
      </c>
      <c r="B99" s="19" t="n">
        <v>45560</v>
      </c>
      <c r="C99" s="11" t="s">
        <v>166</v>
      </c>
      <c r="D99" s="11" t="s">
        <v>82</v>
      </c>
      <c r="E99" s="11" t="s">
        <v>37</v>
      </c>
      <c r="F99" s="11" t="s">
        <v>108</v>
      </c>
      <c r="G99" s="0" t="n">
        <v>7</v>
      </c>
      <c r="H99" s="20" t="n">
        <v>2622.53</v>
      </c>
      <c r="I99" s="11" t="s">
        <v>46</v>
      </c>
      <c r="J99" s="11" t="s">
        <v>85</v>
      </c>
      <c r="K99" s="11" t="s">
        <v>86</v>
      </c>
      <c r="L99" s="20" t="n">
        <f aca="false">G99*H99</f>
        <v>18357.71</v>
      </c>
    </row>
    <row r="100" customFormat="false" ht="15" hidden="false" customHeight="false" outlineLevel="0" collapsed="false">
      <c r="A100" s="0" t="n">
        <v>1081</v>
      </c>
      <c r="B100" s="19" t="n">
        <v>45462</v>
      </c>
      <c r="C100" s="11" t="s">
        <v>64</v>
      </c>
      <c r="D100" s="11" t="s">
        <v>65</v>
      </c>
      <c r="E100" s="11" t="s">
        <v>60</v>
      </c>
      <c r="F100" s="11" t="s">
        <v>117</v>
      </c>
      <c r="G100" s="0" t="n">
        <v>3</v>
      </c>
      <c r="H100" s="20" t="n">
        <v>1002.81</v>
      </c>
      <c r="I100" s="11" t="s">
        <v>68</v>
      </c>
      <c r="J100" s="11" t="s">
        <v>85</v>
      </c>
      <c r="K100" s="11" t="s">
        <v>74</v>
      </c>
      <c r="L100" s="20" t="n">
        <f aca="false">G100*H100</f>
        <v>3008.43</v>
      </c>
    </row>
    <row r="101" customFormat="false" ht="15" hidden="false" customHeight="false" outlineLevel="0" collapsed="false">
      <c r="A101" s="0" t="n">
        <v>1004</v>
      </c>
      <c r="B101" s="19" t="n">
        <v>45341</v>
      </c>
      <c r="C101" s="11" t="s">
        <v>48</v>
      </c>
      <c r="D101" s="11" t="s">
        <v>112</v>
      </c>
      <c r="E101" s="11" t="s">
        <v>83</v>
      </c>
      <c r="F101" s="11" t="s">
        <v>84</v>
      </c>
      <c r="G101" s="0" t="n">
        <v>10</v>
      </c>
      <c r="H101" s="20" t="n">
        <v>808.27</v>
      </c>
      <c r="I101" s="11" t="s">
        <v>46</v>
      </c>
      <c r="J101" s="11" t="s">
        <v>85</v>
      </c>
      <c r="K101" s="11" t="s">
        <v>41</v>
      </c>
      <c r="L101" s="20" t="n">
        <f aca="false">G101*H101</f>
        <v>8082.7</v>
      </c>
    </row>
    <row r="102" customFormat="false" ht="15" hidden="false" customHeight="false" outlineLevel="0" collapsed="false">
      <c r="A102" s="0" t="n">
        <v>1224</v>
      </c>
      <c r="B102" s="19" t="n">
        <v>45547</v>
      </c>
      <c r="C102" s="11" t="s">
        <v>212</v>
      </c>
      <c r="D102" s="11" t="s">
        <v>112</v>
      </c>
      <c r="E102" s="11" t="s">
        <v>66</v>
      </c>
      <c r="F102" s="11" t="s">
        <v>88</v>
      </c>
      <c r="G102" s="0" t="n">
        <v>5</v>
      </c>
      <c r="H102" s="20" t="n">
        <v>2294.81</v>
      </c>
      <c r="I102" s="11" t="s">
        <v>68</v>
      </c>
      <c r="J102" s="11" t="s">
        <v>85</v>
      </c>
      <c r="K102" s="11" t="s">
        <v>63</v>
      </c>
      <c r="L102" s="20" t="n">
        <f aca="false">G102*H102</f>
        <v>11474.05</v>
      </c>
    </row>
    <row r="103" customFormat="false" ht="15" hidden="false" customHeight="false" outlineLevel="0" collapsed="false">
      <c r="A103" s="0" t="n">
        <v>1152</v>
      </c>
      <c r="B103" s="19" t="n">
        <v>45586</v>
      </c>
      <c r="C103" s="11" t="s">
        <v>213</v>
      </c>
      <c r="D103" s="11" t="s">
        <v>43</v>
      </c>
      <c r="E103" s="11" t="s">
        <v>50</v>
      </c>
      <c r="F103" s="11" t="s">
        <v>51</v>
      </c>
      <c r="G103" s="0" t="n">
        <v>5</v>
      </c>
      <c r="H103" s="20" t="n">
        <v>1299.13</v>
      </c>
      <c r="I103" s="11" t="s">
        <v>39</v>
      </c>
      <c r="J103" s="11" t="s">
        <v>115</v>
      </c>
      <c r="K103" s="11" t="s">
        <v>74</v>
      </c>
      <c r="L103" s="20" t="n">
        <f aca="false">G103*H103</f>
        <v>6495.65</v>
      </c>
    </row>
    <row r="104" customFormat="false" ht="15" hidden="false" customHeight="false" outlineLevel="0" collapsed="false">
      <c r="A104" s="0" t="n">
        <v>1241</v>
      </c>
      <c r="B104" s="19" t="n">
        <v>45324</v>
      </c>
      <c r="C104" s="11" t="s">
        <v>214</v>
      </c>
      <c r="D104" s="11" t="s">
        <v>59</v>
      </c>
      <c r="E104" s="11" t="s">
        <v>102</v>
      </c>
      <c r="F104" s="11" t="s">
        <v>121</v>
      </c>
      <c r="G104" s="0" t="n">
        <v>7</v>
      </c>
      <c r="H104" s="20" t="n">
        <v>913.26</v>
      </c>
      <c r="I104" s="11" t="s">
        <v>46</v>
      </c>
      <c r="J104" s="11" t="s">
        <v>85</v>
      </c>
      <c r="K104" s="11" t="s">
        <v>47</v>
      </c>
      <c r="L104" s="20" t="n">
        <f aca="false">G104*H104</f>
        <v>6392.82</v>
      </c>
    </row>
    <row r="105" customFormat="false" ht="15" hidden="false" customHeight="false" outlineLevel="0" collapsed="false">
      <c r="A105" s="0" t="n">
        <v>1031</v>
      </c>
      <c r="B105" s="19" t="n">
        <v>45467</v>
      </c>
      <c r="C105" s="11" t="s">
        <v>218</v>
      </c>
      <c r="D105" s="11" t="s">
        <v>59</v>
      </c>
      <c r="E105" s="11" t="s">
        <v>66</v>
      </c>
      <c r="F105" s="11" t="s">
        <v>88</v>
      </c>
      <c r="G105" s="0" t="n">
        <v>9</v>
      </c>
      <c r="H105" s="20" t="n">
        <v>1475.82</v>
      </c>
      <c r="I105" s="11" t="s">
        <v>46</v>
      </c>
      <c r="J105" s="11" t="s">
        <v>115</v>
      </c>
      <c r="K105" s="11" t="s">
        <v>74</v>
      </c>
      <c r="L105" s="20" t="n">
        <f aca="false">G105*H105</f>
        <v>13282.38</v>
      </c>
    </row>
    <row r="106" customFormat="false" ht="15" hidden="false" customHeight="false" outlineLevel="0" collapsed="false">
      <c r="A106" s="0" t="n">
        <v>1167</v>
      </c>
      <c r="B106" s="19" t="n">
        <v>45477</v>
      </c>
      <c r="C106" s="11" t="s">
        <v>107</v>
      </c>
      <c r="D106" s="11" t="s">
        <v>65</v>
      </c>
      <c r="E106" s="11" t="s">
        <v>50</v>
      </c>
      <c r="F106" s="11" t="s">
        <v>219</v>
      </c>
      <c r="G106" s="0" t="n">
        <v>4</v>
      </c>
      <c r="H106" s="20" t="n">
        <v>2380.36</v>
      </c>
      <c r="I106" s="11" t="s">
        <v>52</v>
      </c>
      <c r="J106" s="11" t="s">
        <v>85</v>
      </c>
      <c r="K106" s="11" t="s">
        <v>53</v>
      </c>
      <c r="L106" s="20" t="n">
        <f aca="false">G106*H106</f>
        <v>9521.44</v>
      </c>
    </row>
    <row r="107" customFormat="false" ht="15" hidden="false" customHeight="false" outlineLevel="0" collapsed="false">
      <c r="A107" s="0" t="n">
        <v>1127</v>
      </c>
      <c r="B107" s="19" t="n">
        <v>45362</v>
      </c>
      <c r="C107" s="11" t="s">
        <v>220</v>
      </c>
      <c r="D107" s="11" t="s">
        <v>112</v>
      </c>
      <c r="E107" s="11" t="s">
        <v>60</v>
      </c>
      <c r="F107" s="11" t="s">
        <v>91</v>
      </c>
      <c r="G107" s="0" t="n">
        <v>2</v>
      </c>
      <c r="H107" s="20" t="n">
        <v>43.04</v>
      </c>
      <c r="I107" s="11" t="s">
        <v>68</v>
      </c>
      <c r="J107" s="11" t="s">
        <v>115</v>
      </c>
      <c r="K107" s="11" t="s">
        <v>80</v>
      </c>
      <c r="L107" s="20" t="n">
        <f aca="false">G107*H107</f>
        <v>86.08</v>
      </c>
    </row>
    <row r="108" customFormat="false" ht="15" hidden="false" customHeight="false" outlineLevel="0" collapsed="false">
      <c r="A108" s="0" t="n">
        <v>1138</v>
      </c>
      <c r="B108" s="19" t="n">
        <v>45436</v>
      </c>
      <c r="C108" s="11" t="s">
        <v>221</v>
      </c>
      <c r="D108" s="11" t="s">
        <v>112</v>
      </c>
      <c r="E108" s="11" t="s">
        <v>60</v>
      </c>
      <c r="F108" s="11" t="s">
        <v>61</v>
      </c>
      <c r="G108" s="0" t="n">
        <v>10</v>
      </c>
      <c r="H108" s="20" t="n">
        <v>176.05</v>
      </c>
      <c r="I108" s="11" t="s">
        <v>39</v>
      </c>
      <c r="J108" s="11" t="s">
        <v>115</v>
      </c>
      <c r="K108" s="11" t="s">
        <v>86</v>
      </c>
      <c r="L108" s="20" t="n">
        <f aca="false">G108*H108</f>
        <v>1760.5</v>
      </c>
    </row>
    <row r="109" customFormat="false" ht="15" hidden="false" customHeight="false" outlineLevel="0" collapsed="false">
      <c r="A109" s="0" t="n">
        <v>1101</v>
      </c>
      <c r="B109" s="19" t="n">
        <v>45338</v>
      </c>
      <c r="C109" s="11" t="s">
        <v>223</v>
      </c>
      <c r="D109" s="11" t="s">
        <v>49</v>
      </c>
      <c r="E109" s="11" t="s">
        <v>50</v>
      </c>
      <c r="F109" s="11" t="s">
        <v>219</v>
      </c>
      <c r="G109" s="0" t="n">
        <v>3</v>
      </c>
      <c r="H109" s="20" t="n">
        <v>618.37</v>
      </c>
      <c r="I109" s="11" t="s">
        <v>39</v>
      </c>
      <c r="J109" s="11" t="s">
        <v>85</v>
      </c>
      <c r="K109" s="11" t="s">
        <v>80</v>
      </c>
      <c r="L109" s="20" t="n">
        <f aca="false">G109*H109</f>
        <v>1855.11</v>
      </c>
    </row>
    <row r="110" customFormat="false" ht="15" hidden="false" customHeight="false" outlineLevel="0" collapsed="false">
      <c r="A110" s="0" t="n">
        <v>1049</v>
      </c>
      <c r="B110" s="19" t="n">
        <v>45522</v>
      </c>
      <c r="C110" s="11" t="s">
        <v>225</v>
      </c>
      <c r="D110" s="11" t="s">
        <v>36</v>
      </c>
      <c r="E110" s="11" t="s">
        <v>50</v>
      </c>
      <c r="F110" s="11" t="s">
        <v>150</v>
      </c>
      <c r="G110" s="0" t="n">
        <v>5</v>
      </c>
      <c r="H110" s="20" t="n">
        <v>2302.12</v>
      </c>
      <c r="I110" s="11" t="s">
        <v>68</v>
      </c>
      <c r="J110" s="11" t="s">
        <v>115</v>
      </c>
      <c r="K110" s="11" t="s">
        <v>47</v>
      </c>
      <c r="L110" s="20" t="n">
        <f aca="false">G110*H110</f>
        <v>11510.6</v>
      </c>
    </row>
    <row r="111" customFormat="false" ht="15" hidden="false" customHeight="false" outlineLevel="0" collapsed="false">
      <c r="A111" s="0" t="n">
        <v>1100</v>
      </c>
      <c r="B111" s="19" t="n">
        <v>45639</v>
      </c>
      <c r="C111" s="11" t="s">
        <v>185</v>
      </c>
      <c r="D111" s="11" t="s">
        <v>65</v>
      </c>
      <c r="E111" s="11" t="s">
        <v>66</v>
      </c>
      <c r="F111" s="11" t="s">
        <v>55</v>
      </c>
      <c r="G111" s="0" t="n">
        <v>1</v>
      </c>
      <c r="H111" s="20" t="n">
        <v>940.62</v>
      </c>
      <c r="I111" s="11" t="s">
        <v>68</v>
      </c>
      <c r="J111" s="11" t="s">
        <v>115</v>
      </c>
      <c r="K111" s="11" t="s">
        <v>86</v>
      </c>
      <c r="L111" s="20" t="n">
        <f aca="false">G111*H111</f>
        <v>940.62</v>
      </c>
    </row>
    <row r="112" customFormat="false" ht="15" hidden="false" customHeight="false" outlineLevel="0" collapsed="false">
      <c r="A112" s="0" t="n">
        <v>1141</v>
      </c>
      <c r="B112" s="19" t="n">
        <v>45552</v>
      </c>
      <c r="C112" s="11" t="s">
        <v>226</v>
      </c>
      <c r="D112" s="11" t="s">
        <v>112</v>
      </c>
      <c r="E112" s="11" t="s">
        <v>50</v>
      </c>
      <c r="F112" s="11" t="s">
        <v>150</v>
      </c>
      <c r="G112" s="0" t="n">
        <v>5</v>
      </c>
      <c r="H112" s="20" t="n">
        <v>557.18</v>
      </c>
      <c r="I112" s="11" t="s">
        <v>52</v>
      </c>
      <c r="J112" s="11" t="s">
        <v>85</v>
      </c>
      <c r="K112" s="11" t="s">
        <v>63</v>
      </c>
      <c r="L112" s="20" t="n">
        <f aca="false">G112*H112</f>
        <v>2785.9</v>
      </c>
    </row>
    <row r="113" customFormat="false" ht="15" hidden="false" customHeight="false" outlineLevel="0" collapsed="false">
      <c r="A113" s="0" t="n">
        <v>1211</v>
      </c>
      <c r="B113" s="19" t="n">
        <v>45433</v>
      </c>
      <c r="C113" s="11" t="s">
        <v>227</v>
      </c>
      <c r="D113" s="11" t="s">
        <v>65</v>
      </c>
      <c r="E113" s="11" t="s">
        <v>60</v>
      </c>
      <c r="F113" s="11" t="s">
        <v>91</v>
      </c>
      <c r="G113" s="0" t="n">
        <v>1</v>
      </c>
      <c r="H113" s="20" t="n">
        <v>2432.24</v>
      </c>
      <c r="I113" s="11" t="s">
        <v>68</v>
      </c>
      <c r="J113" s="11" t="s">
        <v>115</v>
      </c>
      <c r="K113" s="11" t="s">
        <v>58</v>
      </c>
      <c r="L113" s="20" t="n">
        <f aca="false">G113*H113</f>
        <v>2432.24</v>
      </c>
    </row>
    <row r="114" customFormat="false" ht="15" hidden="false" customHeight="false" outlineLevel="0" collapsed="false">
      <c r="A114" s="0" t="n">
        <v>1217</v>
      </c>
      <c r="B114" s="19" t="n">
        <v>45529</v>
      </c>
      <c r="C114" s="11" t="s">
        <v>228</v>
      </c>
      <c r="D114" s="11" t="s">
        <v>49</v>
      </c>
      <c r="E114" s="11" t="s">
        <v>60</v>
      </c>
      <c r="F114" s="11" t="s">
        <v>91</v>
      </c>
      <c r="G114" s="0" t="n">
        <v>7</v>
      </c>
      <c r="H114" s="20" t="n">
        <v>1680.71</v>
      </c>
      <c r="I114" s="11" t="s">
        <v>52</v>
      </c>
      <c r="J114" s="11" t="s">
        <v>85</v>
      </c>
      <c r="K114" s="11" t="s">
        <v>58</v>
      </c>
      <c r="L114" s="20" t="n">
        <f aca="false">G114*H114</f>
        <v>11764.97</v>
      </c>
    </row>
    <row r="115" customFormat="false" ht="15" hidden="false" customHeight="false" outlineLevel="0" collapsed="false">
      <c r="A115" s="0" t="n">
        <v>1163</v>
      </c>
      <c r="B115" s="19" t="n">
        <v>45601</v>
      </c>
      <c r="C115" s="11" t="s">
        <v>185</v>
      </c>
      <c r="D115" s="11" t="s">
        <v>77</v>
      </c>
      <c r="E115" s="11" t="s">
        <v>66</v>
      </c>
      <c r="F115" s="11" t="s">
        <v>78</v>
      </c>
      <c r="G115" s="0" t="n">
        <v>6</v>
      </c>
      <c r="H115" s="20" t="n">
        <v>1128.6</v>
      </c>
      <c r="I115" s="11" t="s">
        <v>46</v>
      </c>
      <c r="J115" s="11" t="s">
        <v>115</v>
      </c>
      <c r="K115" s="11" t="s">
        <v>86</v>
      </c>
      <c r="L115" s="20" t="n">
        <f aca="false">G115*H115</f>
        <v>6771.6</v>
      </c>
    </row>
    <row r="116" customFormat="false" ht="15" hidden="false" customHeight="false" outlineLevel="0" collapsed="false">
      <c r="A116" s="0" t="n">
        <v>1284</v>
      </c>
      <c r="B116" s="19" t="n">
        <v>45567</v>
      </c>
      <c r="C116" s="11" t="s">
        <v>232</v>
      </c>
      <c r="D116" s="11" t="s">
        <v>59</v>
      </c>
      <c r="E116" s="11" t="s">
        <v>83</v>
      </c>
      <c r="F116" s="11" t="s">
        <v>189</v>
      </c>
      <c r="G116" s="0" t="n">
        <v>2</v>
      </c>
      <c r="H116" s="20" t="n">
        <v>943.52</v>
      </c>
      <c r="I116" s="11" t="s">
        <v>52</v>
      </c>
      <c r="J116" s="11" t="s">
        <v>115</v>
      </c>
      <c r="K116" s="11" t="s">
        <v>86</v>
      </c>
      <c r="L116" s="20" t="n">
        <f aca="false">G116*H116</f>
        <v>1887.04</v>
      </c>
    </row>
    <row r="117" customFormat="false" ht="15" hidden="false" customHeight="false" outlineLevel="0" collapsed="false">
      <c r="A117" s="0" t="n">
        <v>1219</v>
      </c>
      <c r="B117" s="19" t="n">
        <v>45600</v>
      </c>
      <c r="C117" s="11" t="s">
        <v>178</v>
      </c>
      <c r="D117" s="11" t="s">
        <v>65</v>
      </c>
      <c r="E117" s="11" t="s">
        <v>102</v>
      </c>
      <c r="F117" s="11" t="s">
        <v>151</v>
      </c>
      <c r="G117" s="0" t="n">
        <v>4</v>
      </c>
      <c r="H117" s="20" t="n">
        <v>2417.86</v>
      </c>
      <c r="I117" s="11" t="s">
        <v>52</v>
      </c>
      <c r="J117" s="11" t="s">
        <v>85</v>
      </c>
      <c r="K117" s="11" t="s">
        <v>58</v>
      </c>
      <c r="L117" s="20" t="n">
        <f aca="false">G117*H117</f>
        <v>9671.44</v>
      </c>
    </row>
    <row r="118" customFormat="false" ht="15" hidden="false" customHeight="false" outlineLevel="0" collapsed="false">
      <c r="A118" s="0" t="n">
        <v>1184</v>
      </c>
      <c r="B118" s="19" t="n">
        <v>45555</v>
      </c>
      <c r="C118" s="11" t="s">
        <v>101</v>
      </c>
      <c r="D118" s="11" t="s">
        <v>112</v>
      </c>
      <c r="E118" s="11" t="s">
        <v>37</v>
      </c>
      <c r="F118" s="11" t="s">
        <v>167</v>
      </c>
      <c r="G118" s="0" t="n">
        <v>3</v>
      </c>
      <c r="H118" s="20" t="n">
        <v>1191</v>
      </c>
      <c r="I118" s="11" t="s">
        <v>39</v>
      </c>
      <c r="J118" s="11" t="s">
        <v>85</v>
      </c>
      <c r="K118" s="11" t="s">
        <v>63</v>
      </c>
      <c r="L118" s="20" t="n">
        <f aca="false">G118*H118</f>
        <v>3573</v>
      </c>
    </row>
    <row r="119" customFormat="false" ht="15" hidden="false" customHeight="false" outlineLevel="0" collapsed="false">
      <c r="A119" s="0" t="n">
        <v>1021</v>
      </c>
      <c r="B119" s="19" t="n">
        <v>45465</v>
      </c>
      <c r="C119" s="11" t="s">
        <v>235</v>
      </c>
      <c r="D119" s="11" t="s">
        <v>36</v>
      </c>
      <c r="E119" s="11" t="s">
        <v>83</v>
      </c>
      <c r="F119" s="11" t="s">
        <v>84</v>
      </c>
      <c r="G119" s="0" t="n">
        <v>4</v>
      </c>
      <c r="H119" s="20" t="n">
        <v>1618.13</v>
      </c>
      <c r="I119" s="11" t="s">
        <v>52</v>
      </c>
      <c r="J119" s="11" t="s">
        <v>85</v>
      </c>
      <c r="K119" s="11" t="s">
        <v>80</v>
      </c>
      <c r="L119" s="20" t="n">
        <f aca="false">G119*H119</f>
        <v>6472.52</v>
      </c>
    </row>
    <row r="120" customFormat="false" ht="15" hidden="false" customHeight="false" outlineLevel="0" collapsed="false">
      <c r="A120" s="0" t="n">
        <v>1005</v>
      </c>
      <c r="B120" s="19" t="n">
        <v>45574</v>
      </c>
      <c r="C120" s="11" t="s">
        <v>236</v>
      </c>
      <c r="D120" s="11" t="s">
        <v>112</v>
      </c>
      <c r="E120" s="11" t="s">
        <v>102</v>
      </c>
      <c r="F120" s="11" t="s">
        <v>103</v>
      </c>
      <c r="G120" s="0" t="n">
        <v>10</v>
      </c>
      <c r="H120" s="20" t="n">
        <v>593.02</v>
      </c>
      <c r="I120" s="11" t="s">
        <v>46</v>
      </c>
      <c r="J120" s="11" t="s">
        <v>115</v>
      </c>
      <c r="K120" s="11" t="s">
        <v>58</v>
      </c>
      <c r="L120" s="20" t="n">
        <f aca="false">G120*H120</f>
        <v>5930.2</v>
      </c>
    </row>
    <row r="121" customFormat="false" ht="15" hidden="false" customHeight="false" outlineLevel="0" collapsed="false">
      <c r="A121" s="0" t="n">
        <v>1123</v>
      </c>
      <c r="B121" s="19" t="n">
        <v>45338</v>
      </c>
      <c r="C121" s="11" t="s">
        <v>107</v>
      </c>
      <c r="D121" s="11" t="s">
        <v>49</v>
      </c>
      <c r="E121" s="11" t="s">
        <v>37</v>
      </c>
      <c r="F121" s="11" t="s">
        <v>108</v>
      </c>
      <c r="G121" s="0" t="n">
        <v>7</v>
      </c>
      <c r="H121" s="20" t="n">
        <v>1371.86</v>
      </c>
      <c r="I121" s="11" t="s">
        <v>52</v>
      </c>
      <c r="J121" s="11" t="s">
        <v>85</v>
      </c>
      <c r="K121" s="11" t="s">
        <v>47</v>
      </c>
      <c r="L121" s="20" t="n">
        <f aca="false">G121*H121</f>
        <v>9603.02</v>
      </c>
    </row>
    <row r="122" customFormat="false" ht="15" hidden="false" customHeight="false" outlineLevel="0" collapsed="false">
      <c r="A122" s="0" t="n">
        <v>1128</v>
      </c>
      <c r="B122" s="19" t="n">
        <v>45652</v>
      </c>
      <c r="C122" s="11" t="s">
        <v>153</v>
      </c>
      <c r="D122" s="11" t="s">
        <v>112</v>
      </c>
      <c r="E122" s="11" t="s">
        <v>102</v>
      </c>
      <c r="F122" s="11" t="s">
        <v>151</v>
      </c>
      <c r="G122" s="0" t="n">
        <v>2</v>
      </c>
      <c r="H122" s="20" t="n">
        <v>1203.27</v>
      </c>
      <c r="I122" s="11" t="s">
        <v>46</v>
      </c>
      <c r="J122" s="11" t="s">
        <v>85</v>
      </c>
      <c r="K122" s="11" t="s">
        <v>53</v>
      </c>
      <c r="L122" s="20" t="n">
        <f aca="false">G122*H122</f>
        <v>2406.54</v>
      </c>
    </row>
    <row r="123" customFormat="false" ht="15" hidden="false" customHeight="false" outlineLevel="0" collapsed="false">
      <c r="A123" s="0" t="n">
        <v>1082</v>
      </c>
      <c r="B123" s="19" t="n">
        <v>45524</v>
      </c>
      <c r="C123" s="11" t="s">
        <v>238</v>
      </c>
      <c r="D123" s="11" t="s">
        <v>59</v>
      </c>
      <c r="E123" s="11" t="s">
        <v>66</v>
      </c>
      <c r="F123" s="11" t="s">
        <v>78</v>
      </c>
      <c r="G123" s="0" t="n">
        <v>6</v>
      </c>
      <c r="H123" s="20" t="n">
        <v>365.45</v>
      </c>
      <c r="I123" s="11" t="s">
        <v>68</v>
      </c>
      <c r="J123" s="11" t="s">
        <v>115</v>
      </c>
      <c r="K123" s="11" t="s">
        <v>63</v>
      </c>
      <c r="L123" s="20" t="n">
        <f aca="false">G123*H123</f>
        <v>2192.7</v>
      </c>
    </row>
    <row r="124" customFormat="false" ht="15" hidden="false" customHeight="false" outlineLevel="0" collapsed="false">
      <c r="A124" s="0" t="n">
        <v>1188</v>
      </c>
      <c r="B124" s="19" t="n">
        <v>45502</v>
      </c>
      <c r="C124" s="11" t="s">
        <v>177</v>
      </c>
      <c r="D124" s="11" t="s">
        <v>77</v>
      </c>
      <c r="E124" s="11" t="s">
        <v>102</v>
      </c>
      <c r="F124" s="11" t="s">
        <v>121</v>
      </c>
      <c r="G124" s="0" t="n">
        <v>1</v>
      </c>
      <c r="H124" s="20" t="n">
        <v>2123.21</v>
      </c>
      <c r="I124" s="11" t="s">
        <v>52</v>
      </c>
      <c r="J124" s="11" t="s">
        <v>85</v>
      </c>
      <c r="K124" s="11" t="s">
        <v>63</v>
      </c>
      <c r="L124" s="20" t="n">
        <f aca="false">G124*H124</f>
        <v>2123.21</v>
      </c>
    </row>
    <row r="125" customFormat="false" ht="15" hidden="false" customHeight="false" outlineLevel="0" collapsed="false">
      <c r="A125" s="0" t="n">
        <v>1247</v>
      </c>
      <c r="B125" s="19" t="n">
        <v>45598</v>
      </c>
      <c r="C125" s="11" t="s">
        <v>240</v>
      </c>
      <c r="D125" s="11" t="s">
        <v>49</v>
      </c>
      <c r="E125" s="11" t="s">
        <v>83</v>
      </c>
      <c r="F125" s="11" t="s">
        <v>84</v>
      </c>
      <c r="G125" s="0" t="n">
        <v>9</v>
      </c>
      <c r="H125" s="20" t="n">
        <v>1529.71</v>
      </c>
      <c r="I125" s="11" t="s">
        <v>68</v>
      </c>
      <c r="J125" s="11" t="s">
        <v>115</v>
      </c>
      <c r="K125" s="11" t="s">
        <v>86</v>
      </c>
      <c r="L125" s="20" t="n">
        <f aca="false">G125*H125</f>
        <v>13767.39</v>
      </c>
    </row>
    <row r="126" customFormat="false" ht="15" hidden="false" customHeight="false" outlineLevel="0" collapsed="false">
      <c r="A126" s="0" t="n">
        <v>1187</v>
      </c>
      <c r="B126" s="19" t="n">
        <v>45308</v>
      </c>
      <c r="C126" s="11" t="s">
        <v>155</v>
      </c>
      <c r="D126" s="11" t="s">
        <v>65</v>
      </c>
      <c r="E126" s="11" t="s">
        <v>50</v>
      </c>
      <c r="F126" s="11" t="s">
        <v>219</v>
      </c>
      <c r="G126" s="0" t="n">
        <v>4</v>
      </c>
      <c r="H126" s="20" t="n">
        <v>76.43</v>
      </c>
      <c r="I126" s="11" t="s">
        <v>39</v>
      </c>
      <c r="J126" s="11" t="s">
        <v>85</v>
      </c>
      <c r="K126" s="11" t="s">
        <v>80</v>
      </c>
      <c r="L126" s="20" t="n">
        <f aca="false">G126*H126</f>
        <v>305.72</v>
      </c>
    </row>
    <row r="127" customFormat="false" ht="15" hidden="false" customHeight="false" outlineLevel="0" collapsed="false">
      <c r="A127" s="0" t="n">
        <v>1173</v>
      </c>
      <c r="B127" s="19" t="n">
        <v>45601</v>
      </c>
      <c r="C127" s="11" t="s">
        <v>243</v>
      </c>
      <c r="D127" s="11" t="s">
        <v>82</v>
      </c>
      <c r="E127" s="11" t="s">
        <v>50</v>
      </c>
      <c r="F127" s="11" t="s">
        <v>51</v>
      </c>
      <c r="G127" s="0" t="n">
        <v>1</v>
      </c>
      <c r="H127" s="20" t="n">
        <v>262.04</v>
      </c>
      <c r="I127" s="11" t="s">
        <v>39</v>
      </c>
      <c r="J127" s="11" t="s">
        <v>115</v>
      </c>
      <c r="K127" s="11" t="s">
        <v>74</v>
      </c>
      <c r="L127" s="20" t="n">
        <f aca="false">G127*H127</f>
        <v>262.04</v>
      </c>
    </row>
    <row r="128" customFormat="false" ht="15" hidden="false" customHeight="false" outlineLevel="0" collapsed="false">
      <c r="A128" s="0" t="n">
        <v>1054</v>
      </c>
      <c r="B128" s="19" t="n">
        <v>45634</v>
      </c>
      <c r="C128" s="11" t="s">
        <v>244</v>
      </c>
      <c r="D128" s="11" t="s">
        <v>43</v>
      </c>
      <c r="E128" s="11" t="s">
        <v>102</v>
      </c>
      <c r="F128" s="11" t="s">
        <v>144</v>
      </c>
      <c r="G128" s="0" t="n">
        <v>8</v>
      </c>
      <c r="H128" s="20" t="n">
        <v>2760.23</v>
      </c>
      <c r="I128" s="11" t="s">
        <v>46</v>
      </c>
      <c r="J128" s="11" t="s">
        <v>85</v>
      </c>
      <c r="K128" s="11" t="s">
        <v>53</v>
      </c>
      <c r="L128" s="20" t="n">
        <f aca="false">G128*H128</f>
        <v>22081.84</v>
      </c>
    </row>
    <row r="129" customFormat="false" ht="15" hidden="false" customHeight="false" outlineLevel="0" collapsed="false">
      <c r="A129" s="0" t="n">
        <v>1191</v>
      </c>
      <c r="B129" s="19" t="n">
        <v>45432</v>
      </c>
      <c r="C129" s="11" t="s">
        <v>230</v>
      </c>
      <c r="D129" s="11" t="s">
        <v>49</v>
      </c>
      <c r="E129" s="11" t="s">
        <v>60</v>
      </c>
      <c r="F129" s="11" t="s">
        <v>95</v>
      </c>
      <c r="G129" s="0" t="n">
        <v>7</v>
      </c>
      <c r="H129" s="20" t="n">
        <v>2458.76</v>
      </c>
      <c r="I129" s="11" t="s">
        <v>52</v>
      </c>
      <c r="J129" s="11" t="s">
        <v>85</v>
      </c>
      <c r="K129" s="11" t="s">
        <v>53</v>
      </c>
      <c r="L129" s="20" t="n">
        <f aca="false">G129*H129</f>
        <v>17211.32</v>
      </c>
    </row>
    <row r="130" customFormat="false" ht="15" hidden="false" customHeight="false" outlineLevel="0" collapsed="false">
      <c r="A130" s="0" t="n">
        <v>1229</v>
      </c>
      <c r="B130" s="19" t="n">
        <v>45561</v>
      </c>
      <c r="C130" s="11" t="s">
        <v>245</v>
      </c>
      <c r="D130" s="11" t="s">
        <v>112</v>
      </c>
      <c r="E130" s="11" t="s">
        <v>37</v>
      </c>
      <c r="F130" s="11" t="s">
        <v>167</v>
      </c>
      <c r="G130" s="0" t="n">
        <v>5</v>
      </c>
      <c r="H130" s="20" t="n">
        <v>2388.91</v>
      </c>
      <c r="I130" s="11" t="s">
        <v>46</v>
      </c>
      <c r="J130" s="11" t="s">
        <v>85</v>
      </c>
      <c r="K130" s="11" t="s">
        <v>74</v>
      </c>
      <c r="L130" s="20" t="n">
        <f aca="false">G130*H130</f>
        <v>11944.55</v>
      </c>
    </row>
    <row r="131" customFormat="false" ht="15" hidden="false" customHeight="false" outlineLevel="0" collapsed="false">
      <c r="A131" s="0" t="n">
        <v>1192</v>
      </c>
      <c r="B131" s="19" t="n">
        <v>45469</v>
      </c>
      <c r="C131" s="11" t="s">
        <v>192</v>
      </c>
      <c r="D131" s="11" t="s">
        <v>59</v>
      </c>
      <c r="E131" s="11" t="s">
        <v>60</v>
      </c>
      <c r="F131" s="11" t="s">
        <v>106</v>
      </c>
      <c r="G131" s="0" t="n">
        <v>8</v>
      </c>
      <c r="H131" s="20" t="n">
        <v>657.68</v>
      </c>
      <c r="I131" s="11" t="s">
        <v>39</v>
      </c>
      <c r="J131" s="11" t="s">
        <v>85</v>
      </c>
      <c r="K131" s="11" t="s">
        <v>80</v>
      </c>
      <c r="L131" s="20" t="n">
        <f aca="false">G131*H131</f>
        <v>5261.44</v>
      </c>
    </row>
    <row r="132" customFormat="false" ht="15" hidden="false" customHeight="false" outlineLevel="0" collapsed="false">
      <c r="A132" s="0" t="n">
        <v>1287</v>
      </c>
      <c r="B132" s="19" t="n">
        <v>45559</v>
      </c>
      <c r="C132" s="11" t="s">
        <v>177</v>
      </c>
      <c r="D132" s="11" t="s">
        <v>59</v>
      </c>
      <c r="E132" s="11" t="s">
        <v>102</v>
      </c>
      <c r="F132" s="11" t="s">
        <v>144</v>
      </c>
      <c r="G132" s="0" t="n">
        <v>3</v>
      </c>
      <c r="H132" s="20" t="n">
        <v>1128.17</v>
      </c>
      <c r="I132" s="11" t="s">
        <v>39</v>
      </c>
      <c r="J132" s="11" t="s">
        <v>115</v>
      </c>
      <c r="K132" s="11" t="s">
        <v>53</v>
      </c>
      <c r="L132" s="20" t="n">
        <f aca="false">G132*H132</f>
        <v>3384.51</v>
      </c>
    </row>
    <row r="133" customFormat="false" ht="15" hidden="false" customHeight="false" outlineLevel="0" collapsed="false">
      <c r="A133" s="0" t="n">
        <v>1088</v>
      </c>
      <c r="B133" s="19" t="n">
        <v>45539</v>
      </c>
      <c r="C133" s="11" t="s">
        <v>86</v>
      </c>
      <c r="D133" s="11" t="s">
        <v>49</v>
      </c>
      <c r="E133" s="11" t="s">
        <v>102</v>
      </c>
      <c r="F133" s="11" t="s">
        <v>151</v>
      </c>
      <c r="G133" s="0" t="n">
        <v>8</v>
      </c>
      <c r="H133" s="20" t="n">
        <v>2799.9</v>
      </c>
      <c r="I133" s="11" t="s">
        <v>52</v>
      </c>
      <c r="J133" s="11" t="s">
        <v>115</v>
      </c>
      <c r="K133" s="11" t="s">
        <v>74</v>
      </c>
      <c r="L133" s="20" t="n">
        <f aca="false">G133*H133</f>
        <v>22399.2</v>
      </c>
    </row>
    <row r="134" customFormat="false" ht="15" hidden="false" customHeight="false" outlineLevel="0" collapsed="false">
      <c r="A134" s="0" t="n">
        <v>1120</v>
      </c>
      <c r="B134" s="19" t="n">
        <v>45472</v>
      </c>
      <c r="C134" s="11" t="s">
        <v>35</v>
      </c>
      <c r="D134" s="11" t="s">
        <v>36</v>
      </c>
      <c r="E134" s="11" t="s">
        <v>66</v>
      </c>
      <c r="F134" s="11" t="s">
        <v>55</v>
      </c>
      <c r="G134" s="0" t="n">
        <v>3</v>
      </c>
      <c r="H134" s="20" t="n">
        <v>1977.07</v>
      </c>
      <c r="I134" s="11" t="s">
        <v>52</v>
      </c>
      <c r="J134" s="11" t="s">
        <v>115</v>
      </c>
      <c r="K134" s="11" t="s">
        <v>86</v>
      </c>
      <c r="L134" s="20" t="n">
        <f aca="false">G134*H134</f>
        <v>5931.21</v>
      </c>
    </row>
    <row r="135" customFormat="false" ht="15" hidden="false" customHeight="false" outlineLevel="0" collapsed="false">
      <c r="A135" s="0" t="n">
        <v>1006</v>
      </c>
      <c r="B135" s="19" t="n">
        <v>45411</v>
      </c>
      <c r="C135" s="11" t="s">
        <v>247</v>
      </c>
      <c r="D135" s="11" t="s">
        <v>59</v>
      </c>
      <c r="E135" s="11" t="s">
        <v>60</v>
      </c>
      <c r="F135" s="11" t="s">
        <v>106</v>
      </c>
      <c r="G135" s="0" t="n">
        <v>8</v>
      </c>
      <c r="H135" s="20" t="n">
        <v>1914.34</v>
      </c>
      <c r="I135" s="11" t="s">
        <v>39</v>
      </c>
      <c r="J135" s="11" t="s">
        <v>115</v>
      </c>
      <c r="K135" s="11" t="s">
        <v>86</v>
      </c>
      <c r="L135" s="20" t="n">
        <f aca="false">G135*H135</f>
        <v>15314.72</v>
      </c>
    </row>
    <row r="136" customFormat="false" ht="15" hidden="false" customHeight="false" outlineLevel="0" collapsed="false">
      <c r="A136" s="0" t="n">
        <v>1142</v>
      </c>
      <c r="B136" s="19" t="n">
        <v>45362</v>
      </c>
      <c r="C136" s="11" t="s">
        <v>248</v>
      </c>
      <c r="D136" s="11" t="s">
        <v>59</v>
      </c>
      <c r="E136" s="11" t="s">
        <v>37</v>
      </c>
      <c r="F136" s="11" t="s">
        <v>159</v>
      </c>
      <c r="G136" s="0" t="n">
        <v>2</v>
      </c>
      <c r="H136" s="20" t="n">
        <v>1532.92</v>
      </c>
      <c r="I136" s="11" t="s">
        <v>46</v>
      </c>
      <c r="J136" s="11" t="s">
        <v>85</v>
      </c>
      <c r="K136" s="11" t="s">
        <v>80</v>
      </c>
      <c r="L136" s="20" t="n">
        <f aca="false">G136*H136</f>
        <v>3065.84</v>
      </c>
    </row>
    <row r="137" customFormat="false" ht="15" hidden="false" customHeight="false" outlineLevel="0" collapsed="false">
      <c r="A137" s="0" t="n">
        <v>1023</v>
      </c>
      <c r="B137" s="19" t="n">
        <v>45540</v>
      </c>
      <c r="C137" s="11" t="s">
        <v>249</v>
      </c>
      <c r="D137" s="11" t="s">
        <v>49</v>
      </c>
      <c r="E137" s="11" t="s">
        <v>37</v>
      </c>
      <c r="F137" s="11" t="s">
        <v>38</v>
      </c>
      <c r="G137" s="0" t="n">
        <v>1</v>
      </c>
      <c r="H137" s="20" t="n">
        <v>510.62</v>
      </c>
      <c r="I137" s="11" t="s">
        <v>46</v>
      </c>
      <c r="J137" s="11" t="s">
        <v>85</v>
      </c>
      <c r="K137" s="11" t="s">
        <v>47</v>
      </c>
      <c r="L137" s="20" t="n">
        <f aca="false">G137*H137</f>
        <v>510.62</v>
      </c>
    </row>
    <row r="138" customFormat="false" ht="15" hidden="false" customHeight="false" outlineLevel="0" collapsed="false">
      <c r="A138" s="0" t="n">
        <v>1156</v>
      </c>
      <c r="B138" s="19" t="n">
        <v>45395</v>
      </c>
      <c r="C138" s="11" t="s">
        <v>251</v>
      </c>
      <c r="D138" s="11" t="s">
        <v>36</v>
      </c>
      <c r="E138" s="11" t="s">
        <v>83</v>
      </c>
      <c r="F138" s="11" t="s">
        <v>164</v>
      </c>
      <c r="G138" s="0" t="n">
        <v>1</v>
      </c>
      <c r="H138" s="20" t="n">
        <v>960.48</v>
      </c>
      <c r="I138" s="11" t="s">
        <v>39</v>
      </c>
      <c r="J138" s="11" t="s">
        <v>85</v>
      </c>
      <c r="K138" s="11" t="s">
        <v>63</v>
      </c>
      <c r="L138" s="20" t="n">
        <f aca="false">G138*H138</f>
        <v>960.48</v>
      </c>
    </row>
    <row r="139" customFormat="false" ht="15" hidden="false" customHeight="false" outlineLevel="0" collapsed="false">
      <c r="A139" s="0" t="n">
        <v>1290</v>
      </c>
      <c r="B139" s="19" t="n">
        <v>45417</v>
      </c>
      <c r="C139" s="11" t="s">
        <v>252</v>
      </c>
      <c r="D139" s="11" t="s">
        <v>112</v>
      </c>
      <c r="E139" s="11" t="s">
        <v>83</v>
      </c>
      <c r="F139" s="11" t="s">
        <v>146</v>
      </c>
      <c r="G139" s="0" t="n">
        <v>7</v>
      </c>
      <c r="H139" s="20" t="n">
        <v>2762.28</v>
      </c>
      <c r="I139" s="11" t="s">
        <v>52</v>
      </c>
      <c r="J139" s="11" t="s">
        <v>115</v>
      </c>
      <c r="K139" s="11" t="s">
        <v>74</v>
      </c>
      <c r="L139" s="20" t="n">
        <f aca="false">G139*H139</f>
        <v>19335.96</v>
      </c>
    </row>
    <row r="140" customFormat="false" ht="15" hidden="false" customHeight="false" outlineLevel="0" collapsed="false">
      <c r="A140" s="0" t="n">
        <v>1066</v>
      </c>
      <c r="B140" s="19" t="n">
        <v>45542</v>
      </c>
      <c r="C140" s="11" t="s">
        <v>190</v>
      </c>
      <c r="D140" s="11" t="s">
        <v>36</v>
      </c>
      <c r="E140" s="11" t="s">
        <v>50</v>
      </c>
      <c r="F140" s="11" t="s">
        <v>150</v>
      </c>
      <c r="G140" s="0" t="n">
        <v>8</v>
      </c>
      <c r="H140" s="20" t="n">
        <v>1944.79</v>
      </c>
      <c r="I140" s="11" t="s">
        <v>68</v>
      </c>
      <c r="J140" s="11" t="s">
        <v>85</v>
      </c>
      <c r="K140" s="11" t="s">
        <v>53</v>
      </c>
      <c r="L140" s="20" t="n">
        <f aca="false">G140*H140</f>
        <v>15558.32</v>
      </c>
    </row>
    <row r="141" customFormat="false" ht="15" hidden="false" customHeight="false" outlineLevel="0" collapsed="false">
      <c r="A141" s="0" t="n">
        <v>1270</v>
      </c>
      <c r="B141" s="19" t="n">
        <v>45526</v>
      </c>
      <c r="C141" s="11" t="s">
        <v>48</v>
      </c>
      <c r="D141" s="11" t="s">
        <v>65</v>
      </c>
      <c r="E141" s="11" t="s">
        <v>50</v>
      </c>
      <c r="F141" s="11" t="s">
        <v>72</v>
      </c>
      <c r="G141" s="0" t="n">
        <v>9</v>
      </c>
      <c r="H141" s="20" t="n">
        <v>1205.19</v>
      </c>
      <c r="I141" s="11" t="s">
        <v>68</v>
      </c>
      <c r="J141" s="11" t="s">
        <v>115</v>
      </c>
      <c r="K141" s="11" t="s">
        <v>63</v>
      </c>
      <c r="L141" s="20" t="n">
        <f aca="false">G141*H141</f>
        <v>10846.71</v>
      </c>
    </row>
    <row r="142" customFormat="false" ht="15" hidden="false" customHeight="false" outlineLevel="0" collapsed="false">
      <c r="A142" s="0" t="n">
        <v>1036</v>
      </c>
      <c r="B142" s="19" t="n">
        <v>45487</v>
      </c>
      <c r="C142" s="11" t="s">
        <v>178</v>
      </c>
      <c r="D142" s="11" t="s">
        <v>77</v>
      </c>
      <c r="E142" s="11" t="s">
        <v>37</v>
      </c>
      <c r="F142" s="11" t="s">
        <v>108</v>
      </c>
      <c r="G142" s="0" t="n">
        <v>4</v>
      </c>
      <c r="H142" s="20" t="n">
        <v>614.73</v>
      </c>
      <c r="I142" s="11" t="s">
        <v>68</v>
      </c>
      <c r="J142" s="11" t="s">
        <v>85</v>
      </c>
      <c r="K142" s="11" t="s">
        <v>47</v>
      </c>
      <c r="L142" s="20" t="n">
        <f aca="false">G142*H142</f>
        <v>2458.92</v>
      </c>
    </row>
    <row r="143" customFormat="false" ht="15" hidden="false" customHeight="false" outlineLevel="0" collapsed="false">
      <c r="A143" s="0" t="n">
        <v>1293</v>
      </c>
      <c r="B143" s="19" t="n">
        <v>45296</v>
      </c>
      <c r="C143" s="11" t="s">
        <v>257</v>
      </c>
      <c r="D143" s="11" t="s">
        <v>59</v>
      </c>
      <c r="E143" s="11" t="s">
        <v>66</v>
      </c>
      <c r="F143" s="11" t="s">
        <v>45</v>
      </c>
      <c r="G143" s="0" t="n">
        <v>10</v>
      </c>
      <c r="H143" s="20" t="n">
        <v>2357.83</v>
      </c>
      <c r="I143" s="11" t="s">
        <v>52</v>
      </c>
      <c r="J143" s="11" t="s">
        <v>85</v>
      </c>
      <c r="K143" s="11" t="s">
        <v>86</v>
      </c>
      <c r="L143" s="20" t="n">
        <f aca="false">G143*H143</f>
        <v>23578.3</v>
      </c>
    </row>
    <row r="144" customFormat="false" ht="15" hidden="false" customHeight="false" outlineLevel="0" collapsed="false">
      <c r="A144" s="0" t="n">
        <v>1068</v>
      </c>
      <c r="B144" s="19" t="n">
        <v>45461</v>
      </c>
      <c r="C144" s="11" t="s">
        <v>258</v>
      </c>
      <c r="D144" s="11" t="s">
        <v>77</v>
      </c>
      <c r="E144" s="11" t="s">
        <v>102</v>
      </c>
      <c r="F144" s="11" t="s">
        <v>151</v>
      </c>
      <c r="G144" s="0" t="n">
        <v>5</v>
      </c>
      <c r="H144" s="20" t="n">
        <v>933.74</v>
      </c>
      <c r="I144" s="11" t="s">
        <v>52</v>
      </c>
      <c r="J144" s="11" t="s">
        <v>115</v>
      </c>
      <c r="K144" s="11" t="s">
        <v>58</v>
      </c>
      <c r="L144" s="20" t="n">
        <f aca="false">G144*H144</f>
        <v>4668.7</v>
      </c>
    </row>
    <row r="145" customFormat="false" ht="15" hidden="false" customHeight="false" outlineLevel="0" collapsed="false">
      <c r="A145" s="0" t="n">
        <v>1278</v>
      </c>
      <c r="B145" s="19" t="n">
        <v>45502</v>
      </c>
      <c r="C145" s="11" t="s">
        <v>139</v>
      </c>
      <c r="D145" s="11" t="s">
        <v>77</v>
      </c>
      <c r="E145" s="11" t="s">
        <v>50</v>
      </c>
      <c r="F145" s="11" t="s">
        <v>219</v>
      </c>
      <c r="G145" s="0" t="n">
        <v>4</v>
      </c>
      <c r="H145" s="20" t="n">
        <v>278.33</v>
      </c>
      <c r="I145" s="11" t="s">
        <v>46</v>
      </c>
      <c r="J145" s="11" t="s">
        <v>115</v>
      </c>
      <c r="K145" s="11" t="s">
        <v>41</v>
      </c>
      <c r="L145" s="20" t="n">
        <f aca="false">G145*H145</f>
        <v>1113.32</v>
      </c>
    </row>
    <row r="146" customFormat="false" ht="15" hidden="false" customHeight="false" outlineLevel="0" collapsed="false">
      <c r="A146" s="0" t="n">
        <v>1177</v>
      </c>
      <c r="B146" s="19" t="n">
        <v>45522</v>
      </c>
      <c r="C146" s="11" t="s">
        <v>170</v>
      </c>
      <c r="D146" s="11" t="s">
        <v>65</v>
      </c>
      <c r="E146" s="11" t="s">
        <v>494</v>
      </c>
      <c r="F146" s="11" t="s">
        <v>164</v>
      </c>
      <c r="G146" s="0" t="n">
        <v>1</v>
      </c>
      <c r="H146" s="20" t="n">
        <v>884.83</v>
      </c>
      <c r="I146" s="11" t="s">
        <v>68</v>
      </c>
      <c r="J146" s="11" t="s">
        <v>85</v>
      </c>
      <c r="K146" s="11" t="s">
        <v>58</v>
      </c>
      <c r="L146" s="20" t="n">
        <f aca="false">G146*H146</f>
        <v>884.83</v>
      </c>
    </row>
    <row r="147" customFormat="false" ht="15" hidden="false" customHeight="false" outlineLevel="0" collapsed="false">
      <c r="A147" s="0" t="n">
        <v>1009</v>
      </c>
      <c r="B147" s="19" t="n">
        <v>45400</v>
      </c>
      <c r="C147" s="11" t="s">
        <v>155</v>
      </c>
      <c r="D147" s="11" t="s">
        <v>112</v>
      </c>
      <c r="E147" s="11" t="s">
        <v>60</v>
      </c>
      <c r="F147" s="11" t="s">
        <v>106</v>
      </c>
      <c r="G147" s="0" t="n">
        <v>4</v>
      </c>
      <c r="H147" s="20" t="n">
        <v>1973.21</v>
      </c>
      <c r="I147" s="11" t="s">
        <v>68</v>
      </c>
      <c r="J147" s="11" t="s">
        <v>85</v>
      </c>
      <c r="K147" s="11" t="s">
        <v>80</v>
      </c>
      <c r="L147" s="20" t="n">
        <f aca="false">G147*H147</f>
        <v>7892.84</v>
      </c>
    </row>
    <row r="148" customFormat="false" ht="15" hidden="false" customHeight="false" outlineLevel="0" collapsed="false">
      <c r="A148" s="0" t="n">
        <v>1135</v>
      </c>
      <c r="B148" s="19" t="n">
        <v>45525</v>
      </c>
      <c r="C148" s="11" t="s">
        <v>260</v>
      </c>
      <c r="D148" s="11" t="s">
        <v>59</v>
      </c>
      <c r="E148" s="11" t="s">
        <v>102</v>
      </c>
      <c r="F148" s="11" t="s">
        <v>110</v>
      </c>
      <c r="G148" s="0" t="n">
        <v>2</v>
      </c>
      <c r="H148" s="20" t="n">
        <v>1941.11</v>
      </c>
      <c r="I148" s="11" t="s">
        <v>46</v>
      </c>
      <c r="J148" s="11" t="s">
        <v>85</v>
      </c>
      <c r="K148" s="11" t="s">
        <v>63</v>
      </c>
      <c r="L148" s="20" t="n">
        <f aca="false">G148*H148</f>
        <v>3882.22</v>
      </c>
    </row>
    <row r="149" customFormat="false" ht="15" hidden="false" customHeight="false" outlineLevel="0" collapsed="false">
      <c r="A149" s="0" t="n">
        <v>1013</v>
      </c>
      <c r="B149" s="19" t="n">
        <v>45349</v>
      </c>
      <c r="C149" s="11" t="s">
        <v>262</v>
      </c>
      <c r="D149" s="11" t="s">
        <v>43</v>
      </c>
      <c r="E149" s="11" t="s">
        <v>50</v>
      </c>
      <c r="F149" s="11" t="s">
        <v>99</v>
      </c>
      <c r="G149" s="0" t="n">
        <v>8</v>
      </c>
      <c r="H149" s="20" t="n">
        <v>29.67</v>
      </c>
      <c r="I149" s="11" t="s">
        <v>39</v>
      </c>
      <c r="J149" s="11" t="s">
        <v>115</v>
      </c>
      <c r="K149" s="11" t="s">
        <v>41</v>
      </c>
      <c r="L149" s="20" t="n">
        <f aca="false">G149*H149</f>
        <v>237.36</v>
      </c>
    </row>
    <row r="150" customFormat="false" ht="15" hidden="false" customHeight="false" outlineLevel="0" collapsed="false">
      <c r="A150" s="0" t="n">
        <v>1034</v>
      </c>
      <c r="B150" s="19" t="n">
        <v>45478</v>
      </c>
      <c r="C150" s="11" t="s">
        <v>260</v>
      </c>
      <c r="D150" s="11" t="s">
        <v>36</v>
      </c>
      <c r="E150" s="11" t="s">
        <v>83</v>
      </c>
      <c r="F150" s="11" t="s">
        <v>164</v>
      </c>
      <c r="G150" s="0" t="n">
        <v>4</v>
      </c>
      <c r="H150" s="20" t="n">
        <v>2007.46</v>
      </c>
      <c r="I150" s="11" t="s">
        <v>39</v>
      </c>
      <c r="J150" s="11" t="s">
        <v>85</v>
      </c>
      <c r="K150" s="11" t="s">
        <v>80</v>
      </c>
      <c r="L150" s="20" t="n">
        <f aca="false">G150*H150</f>
        <v>8029.84</v>
      </c>
    </row>
    <row r="151" customFormat="false" ht="15" hidden="false" customHeight="false" outlineLevel="0" collapsed="false">
      <c r="A151" s="0" t="n">
        <v>1183</v>
      </c>
      <c r="B151" s="19" t="n">
        <v>45552</v>
      </c>
      <c r="C151" s="11" t="s">
        <v>111</v>
      </c>
      <c r="D151" s="11" t="s">
        <v>82</v>
      </c>
      <c r="E151" s="11" t="s">
        <v>37</v>
      </c>
      <c r="F151" s="11" t="s">
        <v>167</v>
      </c>
      <c r="G151" s="0" t="n">
        <v>1</v>
      </c>
      <c r="H151" s="20" t="n">
        <v>135.96</v>
      </c>
      <c r="I151" s="11" t="s">
        <v>39</v>
      </c>
      <c r="J151" s="11" t="s">
        <v>85</v>
      </c>
      <c r="K151" s="11" t="s">
        <v>63</v>
      </c>
      <c r="L151" s="20" t="n">
        <f aca="false">G151*H151</f>
        <v>135.96</v>
      </c>
    </row>
    <row r="152" customFormat="false" ht="15" hidden="false" customHeight="false" outlineLevel="0" collapsed="false">
      <c r="A152" s="0" t="n">
        <v>1111</v>
      </c>
      <c r="B152" s="19" t="n">
        <v>45420</v>
      </c>
      <c r="C152" s="11" t="s">
        <v>266</v>
      </c>
      <c r="D152" s="11" t="s">
        <v>82</v>
      </c>
      <c r="E152" s="11" t="s">
        <v>37</v>
      </c>
      <c r="F152" s="11" t="s">
        <v>167</v>
      </c>
      <c r="G152" s="0" t="n">
        <v>3</v>
      </c>
      <c r="H152" s="20" t="n">
        <v>64.28</v>
      </c>
      <c r="I152" s="11" t="s">
        <v>52</v>
      </c>
      <c r="J152" s="11" t="s">
        <v>85</v>
      </c>
      <c r="K152" s="11" t="s">
        <v>53</v>
      </c>
      <c r="L152" s="20" t="n">
        <f aca="false">G152*H152</f>
        <v>192.84</v>
      </c>
    </row>
    <row r="153" customFormat="false" ht="15" hidden="false" customHeight="false" outlineLevel="0" collapsed="false">
      <c r="A153" s="0" t="n">
        <v>1243</v>
      </c>
      <c r="B153" s="19" t="n">
        <v>45460</v>
      </c>
      <c r="C153" s="11" t="s">
        <v>250</v>
      </c>
      <c r="D153" s="11" t="s">
        <v>49</v>
      </c>
      <c r="E153" s="11" t="s">
        <v>66</v>
      </c>
      <c r="F153" s="11" t="s">
        <v>45</v>
      </c>
      <c r="G153" s="0" t="n">
        <v>10</v>
      </c>
      <c r="H153" s="20" t="n">
        <v>425.65</v>
      </c>
      <c r="I153" s="11" t="s">
        <v>39</v>
      </c>
      <c r="J153" s="11" t="s">
        <v>115</v>
      </c>
      <c r="K153" s="11" t="s">
        <v>63</v>
      </c>
      <c r="L153" s="20" t="n">
        <f aca="false">G153*H153</f>
        <v>4256.5</v>
      </c>
    </row>
    <row r="154" customFormat="false" ht="15" hidden="false" customHeight="false" outlineLevel="0" collapsed="false">
      <c r="A154" s="0" t="n">
        <v>1002</v>
      </c>
      <c r="B154" s="19" t="n">
        <v>45403</v>
      </c>
      <c r="C154" s="11" t="s">
        <v>153</v>
      </c>
      <c r="D154" s="11" t="s">
        <v>82</v>
      </c>
      <c r="E154" s="11" t="s">
        <v>83</v>
      </c>
      <c r="F154" s="11" t="s">
        <v>146</v>
      </c>
      <c r="G154" s="0" t="n">
        <v>9</v>
      </c>
      <c r="H154" s="20" t="n">
        <v>612.54</v>
      </c>
      <c r="I154" s="11" t="s">
        <v>68</v>
      </c>
      <c r="J154" s="11" t="s">
        <v>115</v>
      </c>
      <c r="K154" s="11" t="s">
        <v>63</v>
      </c>
      <c r="L154" s="20" t="n">
        <f aca="false">G154*H154</f>
        <v>5512.86</v>
      </c>
    </row>
    <row r="155" customFormat="false" ht="15" hidden="false" customHeight="false" outlineLevel="0" collapsed="false">
      <c r="A155" s="0" t="n">
        <v>1280</v>
      </c>
      <c r="B155" s="19" t="n">
        <v>45629</v>
      </c>
      <c r="C155" s="11" t="s">
        <v>142</v>
      </c>
      <c r="D155" s="11" t="s">
        <v>36</v>
      </c>
      <c r="E155" s="11" t="s">
        <v>50</v>
      </c>
      <c r="F155" s="11" t="s">
        <v>72</v>
      </c>
      <c r="G155" s="0" t="n">
        <v>7</v>
      </c>
      <c r="H155" s="20" t="n">
        <v>900.72</v>
      </c>
      <c r="I155" s="11" t="s">
        <v>46</v>
      </c>
      <c r="J155" s="11" t="s">
        <v>115</v>
      </c>
      <c r="K155" s="11" t="s">
        <v>63</v>
      </c>
      <c r="L155" s="20" t="n">
        <f aca="false">G155*H155</f>
        <v>6305.04</v>
      </c>
    </row>
    <row r="156" customFormat="false" ht="15" hidden="false" customHeight="false" outlineLevel="0" collapsed="false">
      <c r="A156" s="0" t="n">
        <v>1099</v>
      </c>
      <c r="B156" s="19" t="n">
        <v>45602</v>
      </c>
      <c r="C156" s="11" t="s">
        <v>268</v>
      </c>
      <c r="D156" s="11" t="s">
        <v>59</v>
      </c>
      <c r="E156" s="11" t="s">
        <v>66</v>
      </c>
      <c r="F156" s="11" t="s">
        <v>78</v>
      </c>
      <c r="G156" s="0" t="n">
        <v>4</v>
      </c>
      <c r="H156" s="20" t="n">
        <v>1829.05</v>
      </c>
      <c r="I156" s="11" t="s">
        <v>39</v>
      </c>
      <c r="J156" s="11" t="s">
        <v>115</v>
      </c>
      <c r="K156" s="11" t="s">
        <v>58</v>
      </c>
      <c r="L156" s="20" t="n">
        <f aca="false">G156*H156</f>
        <v>7316.2</v>
      </c>
    </row>
    <row r="157" customFormat="false" ht="15" hidden="false" customHeight="false" outlineLevel="0" collapsed="false">
      <c r="A157" s="0" t="n">
        <v>1276</v>
      </c>
      <c r="B157" s="19" t="n">
        <v>45488</v>
      </c>
      <c r="C157" s="11" t="s">
        <v>269</v>
      </c>
      <c r="D157" s="11" t="s">
        <v>65</v>
      </c>
      <c r="E157" s="11" t="s">
        <v>83</v>
      </c>
      <c r="F157" s="11" t="s">
        <v>129</v>
      </c>
      <c r="G157" s="0" t="n">
        <v>2</v>
      </c>
      <c r="H157" s="20" t="n">
        <v>953.79</v>
      </c>
      <c r="I157" s="11" t="s">
        <v>39</v>
      </c>
      <c r="J157" s="11" t="s">
        <v>115</v>
      </c>
      <c r="K157" s="11" t="s">
        <v>74</v>
      </c>
      <c r="L157" s="20" t="n">
        <f aca="false">G157*H157</f>
        <v>1907.58</v>
      </c>
    </row>
    <row r="158" customFormat="false" ht="15" hidden="false" customHeight="false" outlineLevel="0" collapsed="false">
      <c r="A158" s="0" t="n">
        <v>1236</v>
      </c>
      <c r="B158" s="19" t="n">
        <v>45484</v>
      </c>
      <c r="C158" s="11" t="s">
        <v>134</v>
      </c>
      <c r="D158" s="11" t="s">
        <v>49</v>
      </c>
      <c r="E158" s="11" t="s">
        <v>60</v>
      </c>
      <c r="F158" s="11" t="s">
        <v>95</v>
      </c>
      <c r="G158" s="0" t="n">
        <v>2</v>
      </c>
      <c r="H158" s="20" t="n">
        <v>2321.06</v>
      </c>
      <c r="I158" s="11" t="s">
        <v>39</v>
      </c>
      <c r="J158" s="11" t="s">
        <v>115</v>
      </c>
      <c r="K158" s="11" t="s">
        <v>41</v>
      </c>
      <c r="L158" s="20" t="n">
        <f aca="false">G158*H158</f>
        <v>4642.12</v>
      </c>
    </row>
    <row r="159" customFormat="false" ht="15" hidden="false" customHeight="false" outlineLevel="0" collapsed="false">
      <c r="A159" s="0" t="n">
        <v>1243</v>
      </c>
      <c r="B159" s="19" t="n">
        <v>45460</v>
      </c>
      <c r="C159" s="11" t="s">
        <v>250</v>
      </c>
      <c r="D159" s="11" t="s">
        <v>494</v>
      </c>
      <c r="E159" s="11" t="s">
        <v>66</v>
      </c>
      <c r="F159" s="11" t="s">
        <v>45</v>
      </c>
      <c r="G159" s="0" t="n">
        <v>10</v>
      </c>
      <c r="H159" s="20" t="n">
        <v>425.65</v>
      </c>
      <c r="I159" s="11" t="s">
        <v>39</v>
      </c>
      <c r="J159" s="11" t="s">
        <v>115</v>
      </c>
      <c r="K159" s="11" t="s">
        <v>63</v>
      </c>
      <c r="L159" s="20" t="n">
        <f aca="false">G159*H159</f>
        <v>4256.5</v>
      </c>
    </row>
    <row r="160" customFormat="false" ht="15" hidden="false" customHeight="false" outlineLevel="0" collapsed="false">
      <c r="A160" s="0" t="n">
        <v>1062</v>
      </c>
      <c r="B160" s="19" t="n">
        <v>45654</v>
      </c>
      <c r="C160" s="11" t="s">
        <v>270</v>
      </c>
      <c r="D160" s="11" t="s">
        <v>43</v>
      </c>
      <c r="E160" s="11" t="s">
        <v>60</v>
      </c>
      <c r="F160" s="11" t="s">
        <v>117</v>
      </c>
      <c r="G160" s="0" t="n">
        <v>9</v>
      </c>
      <c r="H160" s="20" t="n">
        <v>2897.11</v>
      </c>
      <c r="I160" s="11" t="s">
        <v>39</v>
      </c>
      <c r="J160" s="11" t="s">
        <v>85</v>
      </c>
      <c r="K160" s="11" t="s">
        <v>63</v>
      </c>
      <c r="L160" s="20" t="n">
        <f aca="false">G160*H160</f>
        <v>26073.99</v>
      </c>
    </row>
    <row r="161" customFormat="false" ht="15" hidden="false" customHeight="false" outlineLevel="0" collapsed="false">
      <c r="A161" s="0" t="n">
        <v>1177</v>
      </c>
      <c r="B161" s="19" t="n">
        <v>45522</v>
      </c>
      <c r="C161" s="11" t="s">
        <v>170</v>
      </c>
      <c r="D161" s="11" t="s">
        <v>65</v>
      </c>
      <c r="E161" s="11" t="s">
        <v>83</v>
      </c>
      <c r="F161" s="11" t="s">
        <v>164</v>
      </c>
      <c r="G161" s="0" t="n">
        <v>1</v>
      </c>
      <c r="H161" s="20" t="n">
        <v>884.83</v>
      </c>
      <c r="I161" s="11" t="s">
        <v>494</v>
      </c>
      <c r="J161" s="11" t="s">
        <v>85</v>
      </c>
      <c r="K161" s="11" t="s">
        <v>58</v>
      </c>
      <c r="L161" s="20" t="n">
        <f aca="false">G161*H161</f>
        <v>884.83</v>
      </c>
    </row>
    <row r="162" customFormat="false" ht="15" hidden="false" customHeight="false" outlineLevel="0" collapsed="false">
      <c r="A162" s="0" t="n">
        <v>1205</v>
      </c>
      <c r="B162" s="19" t="n">
        <v>45368</v>
      </c>
      <c r="C162" s="11" t="s">
        <v>271</v>
      </c>
      <c r="D162" s="11" t="s">
        <v>77</v>
      </c>
      <c r="E162" s="11" t="s">
        <v>66</v>
      </c>
      <c r="F162" s="11" t="s">
        <v>67</v>
      </c>
      <c r="G162" s="0" t="n">
        <v>2</v>
      </c>
      <c r="H162" s="20" t="n">
        <v>2047.28</v>
      </c>
      <c r="I162" s="11" t="s">
        <v>68</v>
      </c>
      <c r="J162" s="11" t="s">
        <v>115</v>
      </c>
      <c r="K162" s="11" t="s">
        <v>63</v>
      </c>
      <c r="L162" s="20" t="n">
        <f aca="false">G162*H162</f>
        <v>4094.56</v>
      </c>
    </row>
    <row r="163" customFormat="false" ht="15" hidden="false" customHeight="false" outlineLevel="0" collapsed="false">
      <c r="A163" s="0" t="n">
        <v>1231</v>
      </c>
      <c r="B163" s="19" t="n">
        <v>45651</v>
      </c>
      <c r="C163" s="11" t="s">
        <v>266</v>
      </c>
      <c r="D163" s="11" t="s">
        <v>77</v>
      </c>
      <c r="E163" s="11" t="s">
        <v>83</v>
      </c>
      <c r="F163" s="11" t="s">
        <v>146</v>
      </c>
      <c r="G163" s="0" t="n">
        <v>7</v>
      </c>
      <c r="H163" s="20" t="n">
        <v>1941.82</v>
      </c>
      <c r="I163" s="11" t="s">
        <v>39</v>
      </c>
      <c r="J163" s="11" t="s">
        <v>115</v>
      </c>
      <c r="K163" s="11" t="s">
        <v>53</v>
      </c>
      <c r="L163" s="20" t="n">
        <f aca="false">G163*H163</f>
        <v>13592.74</v>
      </c>
    </row>
    <row r="164" customFormat="false" ht="15" hidden="false" customHeight="false" outlineLevel="0" collapsed="false">
      <c r="A164" s="0" t="n">
        <v>1092</v>
      </c>
      <c r="B164" s="19" t="n">
        <v>45486</v>
      </c>
      <c r="C164" s="11" t="s">
        <v>64</v>
      </c>
      <c r="D164" s="11" t="s">
        <v>77</v>
      </c>
      <c r="E164" s="11" t="s">
        <v>50</v>
      </c>
      <c r="F164" s="11" t="s">
        <v>51</v>
      </c>
      <c r="G164" s="0" t="n">
        <v>9</v>
      </c>
      <c r="H164" s="20" t="n">
        <v>126.98</v>
      </c>
      <c r="I164" s="11" t="s">
        <v>46</v>
      </c>
      <c r="J164" s="11" t="s">
        <v>115</v>
      </c>
      <c r="K164" s="11" t="s">
        <v>47</v>
      </c>
      <c r="L164" s="20" t="n">
        <f aca="false">G164*H164</f>
        <v>1142.82</v>
      </c>
    </row>
    <row r="165" customFormat="false" ht="15" hidden="false" customHeight="false" outlineLevel="0" collapsed="false">
      <c r="A165" s="0" t="n">
        <v>1273</v>
      </c>
      <c r="B165" s="19" t="n">
        <v>45373</v>
      </c>
      <c r="C165" s="11" t="s">
        <v>41</v>
      </c>
      <c r="D165" s="11" t="s">
        <v>112</v>
      </c>
      <c r="E165" s="11" t="s">
        <v>50</v>
      </c>
      <c r="F165" s="11" t="s">
        <v>99</v>
      </c>
      <c r="G165" s="0" t="n">
        <v>5</v>
      </c>
      <c r="H165" s="20" t="n">
        <v>265.61</v>
      </c>
      <c r="I165" s="11" t="s">
        <v>494</v>
      </c>
      <c r="J165" s="11" t="s">
        <v>115</v>
      </c>
      <c r="K165" s="11" t="s">
        <v>74</v>
      </c>
      <c r="L165" s="20" t="n">
        <f aca="false">G165*H165</f>
        <v>1328.05</v>
      </c>
    </row>
    <row r="166" customFormat="false" ht="15" hidden="false" customHeight="false" outlineLevel="0" collapsed="false">
      <c r="A166" s="0" t="n">
        <v>1146</v>
      </c>
      <c r="B166" s="19" t="n">
        <v>45420</v>
      </c>
      <c r="C166" s="11" t="s">
        <v>273</v>
      </c>
      <c r="D166" s="11" t="s">
        <v>77</v>
      </c>
      <c r="E166" s="11" t="s">
        <v>66</v>
      </c>
      <c r="F166" s="11" t="s">
        <v>88</v>
      </c>
      <c r="G166" s="0" t="n">
        <v>6</v>
      </c>
      <c r="H166" s="20" t="n">
        <v>1672.53</v>
      </c>
      <c r="I166" s="11" t="s">
        <v>46</v>
      </c>
      <c r="J166" s="11" t="s">
        <v>115</v>
      </c>
      <c r="K166" s="11" t="s">
        <v>494</v>
      </c>
      <c r="L166" s="20" t="n">
        <f aca="false">G166*H166</f>
        <v>10035.18</v>
      </c>
    </row>
    <row r="167" customFormat="false" ht="15" hidden="false" customHeight="false" outlineLevel="0" collapsed="false">
      <c r="A167" s="0" t="n">
        <v>1106</v>
      </c>
      <c r="B167" s="19" t="n">
        <v>45412</v>
      </c>
      <c r="C167" s="11" t="s">
        <v>274</v>
      </c>
      <c r="D167" s="11" t="s">
        <v>49</v>
      </c>
      <c r="E167" s="11" t="s">
        <v>83</v>
      </c>
      <c r="F167" s="11" t="s">
        <v>146</v>
      </c>
      <c r="G167" s="0" t="n">
        <v>8</v>
      </c>
      <c r="H167" s="20" t="n">
        <v>1125.61</v>
      </c>
      <c r="I167" s="11" t="s">
        <v>68</v>
      </c>
      <c r="J167" s="11" t="s">
        <v>115</v>
      </c>
      <c r="K167" s="11" t="s">
        <v>74</v>
      </c>
      <c r="L167" s="20" t="n">
        <f aca="false">G167*H167</f>
        <v>9004.88</v>
      </c>
    </row>
    <row r="168" customFormat="false" ht="15" hidden="false" customHeight="false" outlineLevel="0" collapsed="false">
      <c r="A168" s="0" t="n">
        <v>1133</v>
      </c>
      <c r="B168" s="19" t="n">
        <v>45529</v>
      </c>
      <c r="C168" s="11" t="s">
        <v>276</v>
      </c>
      <c r="D168" s="11" t="s">
        <v>77</v>
      </c>
      <c r="E168" s="11" t="s">
        <v>50</v>
      </c>
      <c r="F168" s="11" t="s">
        <v>150</v>
      </c>
      <c r="G168" s="0" t="n">
        <v>10</v>
      </c>
      <c r="H168" s="20" t="n">
        <v>1936.12</v>
      </c>
      <c r="I168" s="11" t="s">
        <v>39</v>
      </c>
      <c r="J168" s="11" t="s">
        <v>85</v>
      </c>
      <c r="K168" s="11" t="s">
        <v>80</v>
      </c>
      <c r="L168" s="20" t="n">
        <f aca="false">G168*H168</f>
        <v>19361.2</v>
      </c>
    </row>
    <row r="169" customFormat="false" ht="15" hidden="false" customHeight="false" outlineLevel="0" collapsed="false">
      <c r="A169" s="0" t="n">
        <v>1028</v>
      </c>
      <c r="B169" s="19" t="n">
        <v>45635</v>
      </c>
      <c r="C169" s="11" t="s">
        <v>277</v>
      </c>
      <c r="D169" s="11" t="s">
        <v>112</v>
      </c>
      <c r="E169" s="11" t="s">
        <v>102</v>
      </c>
      <c r="F169" s="11" t="s">
        <v>121</v>
      </c>
      <c r="G169" s="0" t="n">
        <v>2</v>
      </c>
      <c r="H169" s="20" t="n">
        <v>47.76</v>
      </c>
      <c r="I169" s="11" t="s">
        <v>46</v>
      </c>
      <c r="J169" s="11" t="s">
        <v>115</v>
      </c>
      <c r="K169" s="11" t="s">
        <v>58</v>
      </c>
      <c r="L169" s="20" t="n">
        <f aca="false">G169*H169</f>
        <v>95.52</v>
      </c>
    </row>
    <row r="170" customFormat="false" ht="15" hidden="false" customHeight="false" outlineLevel="0" collapsed="false">
      <c r="A170" s="0" t="n">
        <v>1214</v>
      </c>
      <c r="B170" s="19" t="n">
        <v>45636</v>
      </c>
      <c r="C170" s="11" t="s">
        <v>184</v>
      </c>
      <c r="D170" s="11" t="s">
        <v>59</v>
      </c>
      <c r="E170" s="11" t="s">
        <v>66</v>
      </c>
      <c r="F170" s="11" t="s">
        <v>67</v>
      </c>
      <c r="G170" s="0" t="n">
        <v>3</v>
      </c>
      <c r="H170" s="20" t="n">
        <v>2957.37</v>
      </c>
      <c r="I170" s="11" t="s">
        <v>52</v>
      </c>
      <c r="J170" s="11" t="s">
        <v>85</v>
      </c>
      <c r="K170" s="11" t="s">
        <v>47</v>
      </c>
      <c r="L170" s="20" t="n">
        <f aca="false">G170*H170</f>
        <v>8872.11</v>
      </c>
    </row>
    <row r="171" customFormat="false" ht="15" hidden="false" customHeight="false" outlineLevel="0" collapsed="false">
      <c r="A171" s="0" t="n">
        <v>1067</v>
      </c>
      <c r="B171" s="19" t="n">
        <v>45405</v>
      </c>
      <c r="C171" s="11" t="s">
        <v>244</v>
      </c>
      <c r="D171" s="11" t="s">
        <v>36</v>
      </c>
      <c r="E171" s="11" t="s">
        <v>83</v>
      </c>
      <c r="F171" s="11" t="s">
        <v>164</v>
      </c>
      <c r="G171" s="0" t="n">
        <v>5</v>
      </c>
      <c r="H171" s="20" t="n">
        <v>1998.6</v>
      </c>
      <c r="I171" s="11" t="s">
        <v>39</v>
      </c>
      <c r="J171" s="11" t="s">
        <v>85</v>
      </c>
      <c r="K171" s="11" t="s">
        <v>86</v>
      </c>
      <c r="L171" s="20" t="n">
        <f aca="false">G171*H171</f>
        <v>9993</v>
      </c>
    </row>
    <row r="172" customFormat="false" ht="15" hidden="false" customHeight="false" outlineLevel="0" collapsed="false">
      <c r="A172" s="0" t="n">
        <v>1213</v>
      </c>
      <c r="B172" s="19" t="n">
        <v>45411</v>
      </c>
      <c r="C172" s="11" t="s">
        <v>279</v>
      </c>
      <c r="D172" s="11" t="s">
        <v>82</v>
      </c>
      <c r="E172" s="11" t="s">
        <v>102</v>
      </c>
      <c r="F172" s="11" t="s">
        <v>110</v>
      </c>
      <c r="G172" s="0" t="n">
        <v>3</v>
      </c>
      <c r="H172" s="20" t="n">
        <v>1521.61</v>
      </c>
      <c r="I172" s="11" t="s">
        <v>39</v>
      </c>
      <c r="J172" s="11" t="s">
        <v>115</v>
      </c>
      <c r="K172" s="11" t="s">
        <v>86</v>
      </c>
      <c r="L172" s="20" t="n">
        <f aca="false">G172*H172</f>
        <v>4564.83</v>
      </c>
    </row>
    <row r="173" customFormat="false" ht="15" hidden="false" customHeight="false" outlineLevel="0" collapsed="false">
      <c r="A173" s="0" t="n">
        <v>1070</v>
      </c>
      <c r="B173" s="19" t="n">
        <v>45476</v>
      </c>
      <c r="C173" s="11" t="s">
        <v>280</v>
      </c>
      <c r="D173" s="11" t="s">
        <v>82</v>
      </c>
      <c r="E173" s="11" t="s">
        <v>60</v>
      </c>
      <c r="F173" s="11" t="s">
        <v>91</v>
      </c>
      <c r="G173" s="0" t="n">
        <v>9</v>
      </c>
      <c r="H173" s="20" t="n">
        <v>397.22</v>
      </c>
      <c r="I173" s="11" t="s">
        <v>46</v>
      </c>
      <c r="J173" s="11" t="s">
        <v>115</v>
      </c>
      <c r="K173" s="11" t="s">
        <v>47</v>
      </c>
      <c r="L173" s="20" t="n">
        <f aca="false">G173*H173</f>
        <v>3574.98</v>
      </c>
    </row>
    <row r="174" customFormat="false" ht="15" hidden="false" customHeight="false" outlineLevel="0" collapsed="false">
      <c r="A174" s="0" t="n">
        <v>1104</v>
      </c>
      <c r="B174" s="19" t="n">
        <v>45347</v>
      </c>
      <c r="C174" s="11" t="s">
        <v>281</v>
      </c>
      <c r="D174" s="11" t="s">
        <v>82</v>
      </c>
      <c r="E174" s="11" t="s">
        <v>50</v>
      </c>
      <c r="F174" s="11" t="s">
        <v>99</v>
      </c>
      <c r="G174" s="0" t="n">
        <v>10</v>
      </c>
      <c r="H174" s="20" t="n">
        <v>2655.02</v>
      </c>
      <c r="I174" s="11" t="s">
        <v>39</v>
      </c>
      <c r="J174" s="11" t="s">
        <v>115</v>
      </c>
      <c r="K174" s="11" t="s">
        <v>41</v>
      </c>
      <c r="L174" s="20" t="n">
        <f aca="false">G174*H174</f>
        <v>26550.2</v>
      </c>
    </row>
    <row r="175" customFormat="false" ht="15" hidden="false" customHeight="false" outlineLevel="0" collapsed="false">
      <c r="A175" s="0" t="n">
        <v>1268</v>
      </c>
      <c r="B175" s="19" t="n">
        <v>45418</v>
      </c>
      <c r="C175" s="11" t="s">
        <v>283</v>
      </c>
      <c r="D175" s="11" t="s">
        <v>43</v>
      </c>
      <c r="E175" s="11" t="s">
        <v>50</v>
      </c>
      <c r="F175" s="11" t="s">
        <v>99</v>
      </c>
      <c r="G175" s="0" t="n">
        <v>10</v>
      </c>
      <c r="H175" s="20" t="n">
        <v>1904.56</v>
      </c>
      <c r="I175" s="11" t="s">
        <v>68</v>
      </c>
      <c r="J175" s="11" t="s">
        <v>85</v>
      </c>
      <c r="K175" s="11" t="s">
        <v>63</v>
      </c>
      <c r="L175" s="20" t="n">
        <f aca="false">G175*H175</f>
        <v>19045.6</v>
      </c>
    </row>
    <row r="176" customFormat="false" ht="15" hidden="false" customHeight="false" outlineLevel="0" collapsed="false">
      <c r="A176" s="0" t="n">
        <v>1113</v>
      </c>
      <c r="B176" s="19" t="n">
        <v>45595</v>
      </c>
      <c r="C176" s="11" t="s">
        <v>284</v>
      </c>
      <c r="D176" s="11" t="s">
        <v>36</v>
      </c>
      <c r="E176" s="11" t="s">
        <v>60</v>
      </c>
      <c r="F176" s="11" t="s">
        <v>95</v>
      </c>
      <c r="G176" s="0" t="n">
        <v>10</v>
      </c>
      <c r="H176" s="20" t="n">
        <v>149.23</v>
      </c>
      <c r="I176" s="11" t="s">
        <v>39</v>
      </c>
      <c r="J176" s="11" t="s">
        <v>85</v>
      </c>
      <c r="K176" s="11" t="s">
        <v>53</v>
      </c>
      <c r="L176" s="20" t="n">
        <f aca="false">G176*H176</f>
        <v>1492.3</v>
      </c>
    </row>
    <row r="177" customFormat="false" ht="15" hidden="false" customHeight="false" outlineLevel="0" collapsed="false">
      <c r="A177" s="0" t="n">
        <v>1154</v>
      </c>
      <c r="B177" s="19" t="n">
        <v>45474</v>
      </c>
      <c r="C177" s="11" t="s">
        <v>238</v>
      </c>
      <c r="D177" s="11" t="s">
        <v>36</v>
      </c>
      <c r="E177" s="11" t="s">
        <v>60</v>
      </c>
      <c r="F177" s="11" t="s">
        <v>106</v>
      </c>
      <c r="G177" s="0" t="n">
        <v>2</v>
      </c>
      <c r="H177" s="20" t="n">
        <v>2319.07</v>
      </c>
      <c r="I177" s="11" t="s">
        <v>39</v>
      </c>
      <c r="J177" s="11" t="s">
        <v>115</v>
      </c>
      <c r="K177" s="11" t="s">
        <v>53</v>
      </c>
      <c r="L177" s="20" t="n">
        <f aca="false">G177*H177</f>
        <v>4638.14</v>
      </c>
    </row>
    <row r="178" customFormat="false" ht="15" hidden="false" customHeight="false" outlineLevel="0" collapsed="false">
      <c r="A178" s="0" t="n">
        <v>1282</v>
      </c>
      <c r="B178" s="19" t="n">
        <v>45583</v>
      </c>
      <c r="C178" s="11" t="s">
        <v>42</v>
      </c>
      <c r="D178" s="11" t="s">
        <v>43</v>
      </c>
      <c r="E178" s="11" t="s">
        <v>37</v>
      </c>
      <c r="F178" s="11" t="s">
        <v>38</v>
      </c>
      <c r="G178" s="0" t="n">
        <v>8</v>
      </c>
      <c r="H178" s="20" t="n">
        <v>2864.27</v>
      </c>
      <c r="I178" s="11" t="s">
        <v>46</v>
      </c>
      <c r="J178" s="11" t="s">
        <v>115</v>
      </c>
      <c r="K178" s="11" t="s">
        <v>41</v>
      </c>
      <c r="L178" s="20" t="n">
        <f aca="false">G178*H178</f>
        <v>22914.16</v>
      </c>
    </row>
    <row r="179" customFormat="false" ht="15" hidden="false" customHeight="false" outlineLevel="0" collapsed="false">
      <c r="A179" s="0" t="n">
        <v>1083</v>
      </c>
      <c r="B179" s="19" t="n">
        <v>45388</v>
      </c>
      <c r="C179" s="11" t="s">
        <v>286</v>
      </c>
      <c r="D179" s="11" t="s">
        <v>77</v>
      </c>
      <c r="E179" s="11" t="s">
        <v>102</v>
      </c>
      <c r="F179" s="11" t="s">
        <v>103</v>
      </c>
      <c r="G179" s="0" t="n">
        <v>8</v>
      </c>
      <c r="H179" s="20" t="n">
        <v>2284.77</v>
      </c>
      <c r="I179" s="11" t="s">
        <v>52</v>
      </c>
      <c r="J179" s="11" t="s">
        <v>85</v>
      </c>
      <c r="K179" s="11" t="s">
        <v>80</v>
      </c>
      <c r="L179" s="20" t="n">
        <f aca="false">G179*H179</f>
        <v>18278.16</v>
      </c>
    </row>
    <row r="180" customFormat="false" ht="15" hidden="false" customHeight="false" outlineLevel="0" collapsed="false">
      <c r="A180" s="0" t="n">
        <v>1027</v>
      </c>
      <c r="B180" s="19" t="n">
        <v>45581</v>
      </c>
      <c r="C180" s="11" t="s">
        <v>286</v>
      </c>
      <c r="D180" s="11" t="s">
        <v>59</v>
      </c>
      <c r="E180" s="11" t="s">
        <v>102</v>
      </c>
      <c r="F180" s="11" t="s">
        <v>151</v>
      </c>
      <c r="G180" s="0" t="n">
        <v>4</v>
      </c>
      <c r="H180" s="20" t="n">
        <v>2015.78</v>
      </c>
      <c r="I180" s="11" t="s">
        <v>39</v>
      </c>
      <c r="J180" s="11" t="s">
        <v>115</v>
      </c>
      <c r="K180" s="11" t="s">
        <v>47</v>
      </c>
      <c r="L180" s="20" t="n">
        <f aca="false">G180*H180</f>
        <v>8063.12</v>
      </c>
    </row>
    <row r="181" customFormat="false" ht="15" hidden="false" customHeight="false" outlineLevel="0" collapsed="false">
      <c r="A181" s="0" t="n">
        <v>1190</v>
      </c>
      <c r="B181" s="19" t="n">
        <v>45577</v>
      </c>
      <c r="C181" s="11" t="s">
        <v>142</v>
      </c>
      <c r="D181" s="11" t="s">
        <v>59</v>
      </c>
      <c r="E181" s="11" t="s">
        <v>37</v>
      </c>
      <c r="F181" s="11" t="s">
        <v>93</v>
      </c>
      <c r="G181" s="0" t="n">
        <v>5</v>
      </c>
      <c r="H181" s="20" t="n">
        <v>2120.6</v>
      </c>
      <c r="I181" s="11" t="s">
        <v>68</v>
      </c>
      <c r="J181" s="11" t="s">
        <v>85</v>
      </c>
      <c r="K181" s="11" t="s">
        <v>63</v>
      </c>
      <c r="L181" s="20" t="n">
        <f aca="false">G181*H181</f>
        <v>10603</v>
      </c>
    </row>
    <row r="182" customFormat="false" ht="15" hidden="false" customHeight="false" outlineLevel="0" collapsed="false">
      <c r="A182" s="0" t="n">
        <v>1159</v>
      </c>
      <c r="B182" s="19" t="n">
        <v>45332</v>
      </c>
      <c r="C182" s="11" t="s">
        <v>287</v>
      </c>
      <c r="D182" s="11" t="s">
        <v>43</v>
      </c>
      <c r="E182" s="11" t="s">
        <v>83</v>
      </c>
      <c r="F182" s="11" t="s">
        <v>84</v>
      </c>
      <c r="G182" s="0" t="n">
        <v>9</v>
      </c>
      <c r="H182" s="20" t="n">
        <v>895.42</v>
      </c>
      <c r="I182" s="11" t="s">
        <v>46</v>
      </c>
      <c r="J182" s="11" t="s">
        <v>115</v>
      </c>
      <c r="K182" s="11" t="s">
        <v>494</v>
      </c>
      <c r="L182" s="20" t="n">
        <f aca="false">G182*H182</f>
        <v>8058.78</v>
      </c>
    </row>
    <row r="183" customFormat="false" ht="15" hidden="false" customHeight="false" outlineLevel="0" collapsed="false">
      <c r="A183" s="0" t="n">
        <v>1018</v>
      </c>
      <c r="B183" s="19" t="n">
        <v>45409</v>
      </c>
      <c r="C183" s="11" t="s">
        <v>143</v>
      </c>
      <c r="D183" s="11" t="s">
        <v>82</v>
      </c>
      <c r="E183" s="11" t="s">
        <v>66</v>
      </c>
      <c r="F183" s="11" t="s">
        <v>67</v>
      </c>
      <c r="G183" s="0" t="n">
        <v>2</v>
      </c>
      <c r="H183" s="20" t="n">
        <v>2129.37</v>
      </c>
      <c r="I183" s="11" t="s">
        <v>46</v>
      </c>
      <c r="J183" s="11" t="s">
        <v>115</v>
      </c>
      <c r="K183" s="11" t="s">
        <v>41</v>
      </c>
      <c r="L183" s="20" t="n">
        <f aca="false">G183*H183</f>
        <v>4258.74</v>
      </c>
    </row>
    <row r="184" customFormat="false" ht="15" hidden="false" customHeight="false" outlineLevel="0" collapsed="false">
      <c r="A184" s="0" t="n">
        <v>1136</v>
      </c>
      <c r="B184" s="19" t="n">
        <v>45313</v>
      </c>
      <c r="C184" s="11" t="s">
        <v>211</v>
      </c>
      <c r="D184" s="11" t="s">
        <v>494</v>
      </c>
      <c r="E184" s="11" t="s">
        <v>66</v>
      </c>
      <c r="F184" s="11" t="s">
        <v>67</v>
      </c>
      <c r="G184" s="0" t="n">
        <v>6</v>
      </c>
      <c r="H184" s="20" t="n">
        <v>1822.92</v>
      </c>
      <c r="I184" s="11" t="s">
        <v>52</v>
      </c>
      <c r="J184" s="11" t="s">
        <v>115</v>
      </c>
      <c r="K184" s="11" t="s">
        <v>290</v>
      </c>
      <c r="L184" s="20" t="n">
        <f aca="false">G184*H184</f>
        <v>10937.52</v>
      </c>
    </row>
    <row r="185" customFormat="false" ht="15" hidden="false" customHeight="false" outlineLevel="0" collapsed="false">
      <c r="A185" s="0" t="n">
        <v>1026</v>
      </c>
      <c r="B185" s="19" t="n">
        <v>45596</v>
      </c>
      <c r="C185" s="11" t="s">
        <v>291</v>
      </c>
      <c r="D185" s="11" t="s">
        <v>36</v>
      </c>
      <c r="E185" s="11" t="s">
        <v>37</v>
      </c>
      <c r="F185" s="11" t="s">
        <v>108</v>
      </c>
      <c r="G185" s="0" t="n">
        <v>7</v>
      </c>
      <c r="H185" s="20" t="n">
        <v>377.26</v>
      </c>
      <c r="I185" s="11" t="s">
        <v>52</v>
      </c>
      <c r="J185" s="11" t="s">
        <v>115</v>
      </c>
      <c r="K185" s="11" t="s">
        <v>41</v>
      </c>
      <c r="L185" s="20" t="n">
        <f aca="false">G185*H185</f>
        <v>2640.82</v>
      </c>
    </row>
    <row r="186" customFormat="false" ht="15" hidden="false" customHeight="false" outlineLevel="0" collapsed="false">
      <c r="A186" s="0" t="n">
        <v>1230</v>
      </c>
      <c r="B186" s="19" t="n">
        <v>45416</v>
      </c>
      <c r="C186" s="11" t="s">
        <v>293</v>
      </c>
      <c r="D186" s="11" t="s">
        <v>65</v>
      </c>
      <c r="E186" s="11" t="s">
        <v>102</v>
      </c>
      <c r="F186" s="11" t="s">
        <v>151</v>
      </c>
      <c r="G186" s="0" t="n">
        <v>1</v>
      </c>
      <c r="H186" s="20" t="n">
        <v>298.63</v>
      </c>
      <c r="I186" s="11" t="s">
        <v>68</v>
      </c>
      <c r="J186" s="11" t="s">
        <v>85</v>
      </c>
      <c r="K186" s="11" t="s">
        <v>63</v>
      </c>
      <c r="L186" s="20" t="n">
        <f aca="false">G186*H186</f>
        <v>298.63</v>
      </c>
    </row>
    <row r="187" customFormat="false" ht="15" hidden="false" customHeight="false" outlineLevel="0" collapsed="false">
      <c r="A187" s="0" t="n">
        <v>1125</v>
      </c>
      <c r="B187" s="19" t="n">
        <v>45540</v>
      </c>
      <c r="C187" s="11" t="s">
        <v>186</v>
      </c>
      <c r="D187" s="11" t="s">
        <v>49</v>
      </c>
      <c r="E187" s="11" t="s">
        <v>102</v>
      </c>
      <c r="F187" s="11" t="s">
        <v>110</v>
      </c>
      <c r="G187" s="0" t="n">
        <v>5</v>
      </c>
      <c r="H187" s="20" t="n">
        <v>662.4</v>
      </c>
      <c r="I187" s="11" t="s">
        <v>46</v>
      </c>
      <c r="J187" s="11" t="s">
        <v>85</v>
      </c>
      <c r="K187" s="11" t="s">
        <v>74</v>
      </c>
      <c r="L187" s="20" t="n">
        <f aca="false">G187*H187</f>
        <v>3312</v>
      </c>
    </row>
    <row r="188" customFormat="false" ht="15" hidden="false" customHeight="false" outlineLevel="0" collapsed="false">
      <c r="A188" s="0" t="n">
        <v>1147</v>
      </c>
      <c r="B188" s="19" t="n">
        <v>45431</v>
      </c>
      <c r="C188" s="11" t="s">
        <v>294</v>
      </c>
      <c r="D188" s="11" t="s">
        <v>43</v>
      </c>
      <c r="E188" s="11" t="s">
        <v>83</v>
      </c>
      <c r="F188" s="11" t="s">
        <v>129</v>
      </c>
      <c r="G188" s="0" t="n">
        <v>7</v>
      </c>
      <c r="H188" s="20" t="n">
        <v>293.31</v>
      </c>
      <c r="I188" s="11" t="s">
        <v>52</v>
      </c>
      <c r="J188" s="11" t="s">
        <v>85</v>
      </c>
      <c r="K188" s="11" t="s">
        <v>86</v>
      </c>
      <c r="L188" s="20" t="n">
        <f aca="false">G188*H188</f>
        <v>2053.17</v>
      </c>
    </row>
    <row r="189" customFormat="false" ht="15" hidden="false" customHeight="false" outlineLevel="0" collapsed="false">
      <c r="A189" s="0" t="n">
        <v>1272</v>
      </c>
      <c r="B189" s="19" t="n">
        <v>45300</v>
      </c>
      <c r="C189" s="11" t="s">
        <v>295</v>
      </c>
      <c r="D189" s="11" t="s">
        <v>43</v>
      </c>
      <c r="E189" s="11" t="s">
        <v>83</v>
      </c>
      <c r="F189" s="11" t="s">
        <v>84</v>
      </c>
      <c r="G189" s="0" t="n">
        <v>8</v>
      </c>
      <c r="H189" s="20" t="n">
        <v>1380.42</v>
      </c>
      <c r="I189" s="11" t="s">
        <v>68</v>
      </c>
      <c r="J189" s="11" t="s">
        <v>115</v>
      </c>
      <c r="K189" s="11" t="s">
        <v>494</v>
      </c>
      <c r="L189" s="20" t="n">
        <f aca="false">G189*H189</f>
        <v>11043.36</v>
      </c>
    </row>
    <row r="190" customFormat="false" ht="15" hidden="false" customHeight="false" outlineLevel="0" collapsed="false">
      <c r="A190" s="0" t="n">
        <v>1166</v>
      </c>
      <c r="B190" s="19" t="n">
        <v>45336</v>
      </c>
      <c r="C190" s="11" t="s">
        <v>64</v>
      </c>
      <c r="D190" s="11" t="s">
        <v>494</v>
      </c>
      <c r="E190" s="11" t="s">
        <v>37</v>
      </c>
      <c r="F190" s="11" t="s">
        <v>38</v>
      </c>
      <c r="G190" s="0" t="n">
        <v>2</v>
      </c>
      <c r="H190" s="20" t="n">
        <v>1658.99</v>
      </c>
      <c r="I190" s="11" t="s">
        <v>39</v>
      </c>
      <c r="J190" s="11" t="s">
        <v>85</v>
      </c>
      <c r="K190" s="11" t="s">
        <v>80</v>
      </c>
      <c r="L190" s="20" t="n">
        <f aca="false">G190*H190</f>
        <v>3317.98</v>
      </c>
    </row>
    <row r="191" customFormat="false" ht="15" hidden="false" customHeight="false" outlineLevel="0" collapsed="false">
      <c r="A191" s="0" t="n">
        <v>1014</v>
      </c>
      <c r="B191" s="19" t="n">
        <v>45619</v>
      </c>
      <c r="C191" s="11" t="s">
        <v>158</v>
      </c>
      <c r="D191" s="11" t="s">
        <v>36</v>
      </c>
      <c r="E191" s="11" t="s">
        <v>50</v>
      </c>
      <c r="F191" s="11" t="s">
        <v>99</v>
      </c>
      <c r="G191" s="0" t="n">
        <v>3</v>
      </c>
      <c r="H191" s="20" t="n">
        <v>1134.26</v>
      </c>
      <c r="I191" s="11" t="s">
        <v>52</v>
      </c>
      <c r="J191" s="11" t="s">
        <v>115</v>
      </c>
      <c r="K191" s="11" t="s">
        <v>86</v>
      </c>
      <c r="L191" s="20" t="n">
        <f aca="false">G191*H191</f>
        <v>3402.78</v>
      </c>
    </row>
    <row r="192" customFormat="false" ht="15" hidden="false" customHeight="false" outlineLevel="0" collapsed="false">
      <c r="A192" s="0" t="n">
        <v>1019</v>
      </c>
      <c r="B192" s="19" t="n">
        <v>45328</v>
      </c>
      <c r="C192" s="11" t="s">
        <v>107</v>
      </c>
      <c r="D192" s="11" t="s">
        <v>59</v>
      </c>
      <c r="E192" s="11" t="s">
        <v>83</v>
      </c>
      <c r="F192" s="11" t="s">
        <v>164</v>
      </c>
      <c r="G192" s="0" t="n">
        <v>8</v>
      </c>
      <c r="H192" s="20" t="n">
        <v>658.43</v>
      </c>
      <c r="I192" s="11" t="s">
        <v>52</v>
      </c>
      <c r="J192" s="11" t="s">
        <v>85</v>
      </c>
      <c r="K192" s="11" t="s">
        <v>494</v>
      </c>
      <c r="L192" s="20" t="n">
        <f aca="false">G192*H192</f>
        <v>5267.44</v>
      </c>
    </row>
    <row r="193" customFormat="false" ht="15" hidden="false" customHeight="false" outlineLevel="0" collapsed="false">
      <c r="A193" s="0" t="n">
        <v>1155</v>
      </c>
      <c r="B193" s="19" t="n">
        <v>45465</v>
      </c>
      <c r="C193" s="11" t="s">
        <v>296</v>
      </c>
      <c r="D193" s="11" t="s">
        <v>77</v>
      </c>
      <c r="E193" s="11" t="s">
        <v>60</v>
      </c>
      <c r="F193" s="11" t="s">
        <v>95</v>
      </c>
      <c r="G193" s="0" t="n">
        <v>8</v>
      </c>
      <c r="H193" s="20" t="n">
        <v>1902.57</v>
      </c>
      <c r="I193" s="11" t="s">
        <v>52</v>
      </c>
      <c r="J193" s="11" t="s">
        <v>115</v>
      </c>
      <c r="K193" s="11" t="s">
        <v>63</v>
      </c>
      <c r="L193" s="20" t="n">
        <f aca="false">G193*H193</f>
        <v>15220.56</v>
      </c>
    </row>
    <row r="194" customFormat="false" ht="15" hidden="false" customHeight="false" outlineLevel="0" collapsed="false">
      <c r="A194" s="0" t="n">
        <v>1085</v>
      </c>
      <c r="B194" s="19" t="n">
        <v>45339</v>
      </c>
      <c r="C194" s="11" t="s">
        <v>297</v>
      </c>
      <c r="D194" s="11" t="s">
        <v>65</v>
      </c>
      <c r="E194" s="11" t="s">
        <v>66</v>
      </c>
      <c r="F194" s="11" t="s">
        <v>45</v>
      </c>
      <c r="G194" s="0" t="n">
        <v>8</v>
      </c>
      <c r="H194" s="20" t="n">
        <v>2842.24</v>
      </c>
      <c r="I194" s="11" t="s">
        <v>52</v>
      </c>
      <c r="J194" s="11" t="s">
        <v>85</v>
      </c>
      <c r="K194" s="11" t="s">
        <v>47</v>
      </c>
      <c r="L194" s="20" t="n">
        <f aca="false">G194*H194</f>
        <v>22737.92</v>
      </c>
    </row>
    <row r="195" customFormat="false" ht="15" hidden="false" customHeight="false" outlineLevel="0" collapsed="false">
      <c r="A195" s="0" t="n">
        <v>1050</v>
      </c>
      <c r="B195" s="19" t="n">
        <v>45657</v>
      </c>
      <c r="C195" s="11" t="s">
        <v>142</v>
      </c>
      <c r="D195" s="11" t="s">
        <v>59</v>
      </c>
      <c r="E195" s="11" t="s">
        <v>102</v>
      </c>
      <c r="F195" s="11" t="s">
        <v>103</v>
      </c>
      <c r="G195" s="0" t="n">
        <v>6</v>
      </c>
      <c r="H195" s="20" t="n">
        <v>972.73</v>
      </c>
      <c r="I195" s="11" t="s">
        <v>494</v>
      </c>
      <c r="J195" s="11" t="s">
        <v>115</v>
      </c>
      <c r="K195" s="11" t="s">
        <v>80</v>
      </c>
      <c r="L195" s="20" t="n">
        <f aca="false">G195*H195</f>
        <v>5836.38</v>
      </c>
    </row>
    <row r="196" customFormat="false" ht="15" hidden="false" customHeight="false" outlineLevel="0" collapsed="false">
      <c r="A196" s="0" t="n">
        <v>1078</v>
      </c>
      <c r="B196" s="19" t="n">
        <v>45644</v>
      </c>
      <c r="C196" s="11" t="s">
        <v>135</v>
      </c>
      <c r="D196" s="11" t="s">
        <v>494</v>
      </c>
      <c r="E196" s="11" t="s">
        <v>83</v>
      </c>
      <c r="F196" s="11" t="s">
        <v>84</v>
      </c>
      <c r="G196" s="0" t="n">
        <v>5</v>
      </c>
      <c r="H196" s="20" t="n">
        <v>1511.41</v>
      </c>
      <c r="I196" s="11" t="s">
        <v>68</v>
      </c>
      <c r="J196" s="11" t="s">
        <v>85</v>
      </c>
      <c r="K196" s="11" t="s">
        <v>41</v>
      </c>
      <c r="L196" s="20" t="n">
        <f aca="false">G196*H196</f>
        <v>7557.05</v>
      </c>
    </row>
    <row r="197" customFormat="false" ht="15" hidden="false" customHeight="false" outlineLevel="0" collapsed="false">
      <c r="A197" s="0" t="n">
        <v>1008</v>
      </c>
      <c r="B197" s="19" t="n">
        <v>45619</v>
      </c>
      <c r="C197" s="11" t="s">
        <v>279</v>
      </c>
      <c r="D197" s="11" t="s">
        <v>112</v>
      </c>
      <c r="E197" s="11" t="s">
        <v>102</v>
      </c>
      <c r="F197" s="11" t="s">
        <v>144</v>
      </c>
      <c r="G197" s="0" t="n">
        <v>1</v>
      </c>
      <c r="H197" s="20" t="n">
        <v>702.56</v>
      </c>
      <c r="I197" s="11" t="s">
        <v>46</v>
      </c>
      <c r="J197" s="11" t="s">
        <v>85</v>
      </c>
      <c r="K197" s="11" t="s">
        <v>74</v>
      </c>
      <c r="L197" s="20" t="n">
        <f aca="false">G197*H197</f>
        <v>702.56</v>
      </c>
    </row>
    <row r="198" customFormat="false" ht="15" hidden="false" customHeight="false" outlineLevel="0" collapsed="false">
      <c r="A198" s="0" t="n">
        <v>1124</v>
      </c>
      <c r="B198" s="19" t="n">
        <v>45582</v>
      </c>
      <c r="C198" s="11" t="s">
        <v>195</v>
      </c>
      <c r="D198" s="11" t="s">
        <v>494</v>
      </c>
      <c r="E198" s="11" t="s">
        <v>50</v>
      </c>
      <c r="F198" s="11" t="s">
        <v>99</v>
      </c>
      <c r="G198" s="0" t="n">
        <v>3</v>
      </c>
      <c r="H198" s="20" t="n">
        <v>489.08</v>
      </c>
      <c r="I198" s="11" t="s">
        <v>46</v>
      </c>
      <c r="J198" s="11" t="s">
        <v>115</v>
      </c>
      <c r="K198" s="11" t="s">
        <v>47</v>
      </c>
      <c r="L198" s="20" t="n">
        <f aca="false">G198*H198</f>
        <v>1467.24</v>
      </c>
    </row>
    <row r="199" customFormat="false" ht="15" hidden="false" customHeight="false" outlineLevel="0" collapsed="false">
      <c r="A199" s="0" t="n">
        <v>1117</v>
      </c>
      <c r="B199" s="19" t="n">
        <v>45465</v>
      </c>
      <c r="C199" s="11" t="s">
        <v>125</v>
      </c>
      <c r="D199" s="11" t="s">
        <v>49</v>
      </c>
      <c r="E199" s="11" t="s">
        <v>37</v>
      </c>
      <c r="F199" s="11" t="s">
        <v>38</v>
      </c>
      <c r="G199" s="0" t="n">
        <v>2</v>
      </c>
      <c r="H199" s="20" t="n">
        <v>951.39</v>
      </c>
      <c r="I199" s="11" t="s">
        <v>39</v>
      </c>
      <c r="J199" s="11" t="s">
        <v>85</v>
      </c>
      <c r="K199" s="11" t="s">
        <v>86</v>
      </c>
      <c r="L199" s="20" t="n">
        <f aca="false">G199*H199</f>
        <v>1902.78</v>
      </c>
    </row>
    <row r="200" customFormat="false" ht="15" hidden="false" customHeight="false" outlineLevel="0" collapsed="false">
      <c r="A200" s="0" t="n">
        <v>1122</v>
      </c>
      <c r="B200" s="19" t="n">
        <v>45651</v>
      </c>
      <c r="C200" s="11" t="s">
        <v>223</v>
      </c>
      <c r="D200" s="11" t="s">
        <v>112</v>
      </c>
      <c r="E200" s="11" t="s">
        <v>37</v>
      </c>
      <c r="F200" s="11" t="s">
        <v>93</v>
      </c>
      <c r="G200" s="0" t="n">
        <v>1</v>
      </c>
      <c r="H200" s="20" t="n">
        <v>560.59</v>
      </c>
      <c r="I200" s="11" t="s">
        <v>52</v>
      </c>
      <c r="J200" s="11" t="s">
        <v>85</v>
      </c>
      <c r="K200" s="11" t="s">
        <v>41</v>
      </c>
      <c r="L200" s="20" t="n">
        <f aca="false">G200*H200</f>
        <v>560.59</v>
      </c>
    </row>
    <row r="201" customFormat="false" ht="15" hidden="false" customHeight="false" outlineLevel="0" collapsed="false">
      <c r="A201" s="0" t="n">
        <v>1053</v>
      </c>
      <c r="B201" s="19" t="n">
        <v>45567</v>
      </c>
      <c r="C201" s="11" t="s">
        <v>190</v>
      </c>
      <c r="D201" s="11" t="s">
        <v>36</v>
      </c>
      <c r="E201" s="11" t="s">
        <v>102</v>
      </c>
      <c r="F201" s="11" t="s">
        <v>110</v>
      </c>
      <c r="G201" s="0" t="n">
        <v>8</v>
      </c>
      <c r="H201" s="20" t="n">
        <v>673.88</v>
      </c>
      <c r="I201" s="11" t="s">
        <v>68</v>
      </c>
      <c r="J201" s="11" t="s">
        <v>85</v>
      </c>
      <c r="K201" s="11" t="s">
        <v>53</v>
      </c>
      <c r="L201" s="20" t="n">
        <f aca="false">G201*H201</f>
        <v>5391.04</v>
      </c>
    </row>
    <row r="202" customFormat="false" ht="15" hidden="false" customHeight="false" outlineLevel="0" collapsed="false">
      <c r="A202" s="0" t="n">
        <v>1071</v>
      </c>
      <c r="B202" s="19" t="n">
        <v>45618</v>
      </c>
      <c r="C202" s="11" t="s">
        <v>161</v>
      </c>
      <c r="D202" s="11" t="s">
        <v>82</v>
      </c>
      <c r="E202" s="11" t="s">
        <v>494</v>
      </c>
      <c r="F202" s="11" t="s">
        <v>219</v>
      </c>
      <c r="G202" s="0" t="n">
        <v>10</v>
      </c>
      <c r="H202" s="20" t="n">
        <v>867.33</v>
      </c>
      <c r="I202" s="11" t="s">
        <v>68</v>
      </c>
      <c r="J202" s="11" t="s">
        <v>85</v>
      </c>
      <c r="K202" s="11" t="s">
        <v>86</v>
      </c>
      <c r="L202" s="20" t="n">
        <f aca="false">G202*H202</f>
        <v>8673.3</v>
      </c>
    </row>
    <row r="203" customFormat="false" ht="15" hidden="false" customHeight="false" outlineLevel="0" collapsed="false">
      <c r="A203" s="0" t="n">
        <v>1168</v>
      </c>
      <c r="B203" s="19" t="n">
        <v>45585</v>
      </c>
      <c r="C203" s="11" t="s">
        <v>172</v>
      </c>
      <c r="D203" s="11" t="s">
        <v>43</v>
      </c>
      <c r="E203" s="11" t="s">
        <v>60</v>
      </c>
      <c r="F203" s="11" t="s">
        <v>95</v>
      </c>
      <c r="G203" s="0" t="n">
        <v>10</v>
      </c>
      <c r="H203" s="20" t="n">
        <v>2655.05</v>
      </c>
      <c r="I203" s="11" t="s">
        <v>46</v>
      </c>
      <c r="J203" s="11" t="s">
        <v>85</v>
      </c>
      <c r="K203" s="11" t="s">
        <v>494</v>
      </c>
      <c r="L203" s="20" t="n">
        <f aca="false">G203*H203</f>
        <v>26550.5</v>
      </c>
    </row>
    <row r="204" customFormat="false" ht="15" hidden="false" customHeight="false" outlineLevel="0" collapsed="false">
      <c r="A204" s="0" t="n">
        <v>1074</v>
      </c>
      <c r="B204" s="19" t="n">
        <v>45593</v>
      </c>
      <c r="C204" s="11" t="s">
        <v>196</v>
      </c>
      <c r="D204" s="11" t="s">
        <v>82</v>
      </c>
      <c r="E204" s="11" t="s">
        <v>102</v>
      </c>
      <c r="F204" s="11" t="s">
        <v>144</v>
      </c>
      <c r="G204" s="0" t="n">
        <v>10</v>
      </c>
      <c r="H204" s="20" t="n">
        <v>2881.12</v>
      </c>
      <c r="I204" s="11" t="s">
        <v>46</v>
      </c>
      <c r="J204" s="11" t="s">
        <v>115</v>
      </c>
      <c r="K204" s="11" t="s">
        <v>58</v>
      </c>
      <c r="L204" s="20" t="n">
        <f aca="false">G204*H204</f>
        <v>28811.2</v>
      </c>
    </row>
    <row r="205" customFormat="false" ht="15" hidden="false" customHeight="false" outlineLevel="0" collapsed="false">
      <c r="A205" s="0" t="n">
        <v>1234</v>
      </c>
      <c r="B205" s="19" t="n">
        <v>45644</v>
      </c>
      <c r="C205" s="11" t="s">
        <v>494</v>
      </c>
      <c r="D205" s="11" t="s">
        <v>112</v>
      </c>
      <c r="E205" s="11" t="s">
        <v>102</v>
      </c>
      <c r="F205" s="11" t="s">
        <v>121</v>
      </c>
      <c r="G205" s="0" t="n">
        <v>1</v>
      </c>
      <c r="H205" s="20" t="n">
        <v>311.1</v>
      </c>
      <c r="I205" s="11" t="s">
        <v>52</v>
      </c>
      <c r="J205" s="11" t="s">
        <v>115</v>
      </c>
      <c r="K205" s="11" t="s">
        <v>86</v>
      </c>
      <c r="L205" s="20" t="n">
        <f aca="false">G205*H205</f>
        <v>311.1</v>
      </c>
    </row>
    <row r="206" customFormat="false" ht="15" hidden="false" customHeight="false" outlineLevel="0" collapsed="false">
      <c r="A206" s="0" t="n">
        <v>1289</v>
      </c>
      <c r="B206" s="19" t="n">
        <v>45582</v>
      </c>
      <c r="C206" s="11" t="s">
        <v>271</v>
      </c>
      <c r="D206" s="11" t="s">
        <v>43</v>
      </c>
      <c r="E206" s="11" t="s">
        <v>83</v>
      </c>
      <c r="F206" s="11" t="s">
        <v>84</v>
      </c>
      <c r="G206" s="0" t="n">
        <v>5</v>
      </c>
      <c r="H206" s="20" t="n">
        <v>2324.52</v>
      </c>
      <c r="I206" s="11" t="s">
        <v>46</v>
      </c>
      <c r="J206" s="11" t="s">
        <v>115</v>
      </c>
      <c r="K206" s="11" t="s">
        <v>53</v>
      </c>
      <c r="L206" s="20" t="n">
        <f aca="false">G206*H206</f>
        <v>11622.6</v>
      </c>
    </row>
    <row r="207" customFormat="false" ht="15" hidden="false" customHeight="false" outlineLevel="0" collapsed="false">
      <c r="A207" s="0" t="n">
        <v>1008</v>
      </c>
      <c r="B207" s="19" t="n">
        <v>45619</v>
      </c>
      <c r="C207" s="11" t="s">
        <v>279</v>
      </c>
      <c r="D207" s="11" t="s">
        <v>112</v>
      </c>
      <c r="E207" s="11" t="s">
        <v>102</v>
      </c>
      <c r="F207" s="11" t="s">
        <v>144</v>
      </c>
      <c r="G207" s="0" t="n">
        <v>1</v>
      </c>
      <c r="H207" s="20" t="n">
        <v>702.56</v>
      </c>
      <c r="I207" s="11" t="s">
        <v>494</v>
      </c>
      <c r="J207" s="11" t="s">
        <v>85</v>
      </c>
      <c r="K207" s="11" t="s">
        <v>74</v>
      </c>
      <c r="L207" s="20" t="n">
        <f aca="false">G207*H207</f>
        <v>702.56</v>
      </c>
    </row>
    <row r="208" customFormat="false" ht="15" hidden="false" customHeight="false" outlineLevel="0" collapsed="false">
      <c r="A208" s="0" t="n">
        <v>1084</v>
      </c>
      <c r="B208" s="19" t="n">
        <v>45649</v>
      </c>
      <c r="C208" s="11" t="s">
        <v>161</v>
      </c>
      <c r="D208" s="11" t="s">
        <v>82</v>
      </c>
      <c r="E208" s="11" t="s">
        <v>60</v>
      </c>
      <c r="F208" s="11" t="s">
        <v>117</v>
      </c>
      <c r="G208" s="0" t="n">
        <v>10</v>
      </c>
      <c r="H208" s="20" t="n">
        <v>2401.95</v>
      </c>
      <c r="I208" s="11" t="s">
        <v>494</v>
      </c>
      <c r="J208" s="11" t="s">
        <v>85</v>
      </c>
      <c r="K208" s="11" t="s">
        <v>494</v>
      </c>
      <c r="L208" s="20" t="n">
        <f aca="false">G208*H208</f>
        <v>24019.5</v>
      </c>
    </row>
    <row r="209" customFormat="false" ht="15" hidden="false" customHeight="false" outlineLevel="0" collapsed="false">
      <c r="A209" s="0" t="n">
        <v>1073</v>
      </c>
      <c r="B209" s="19" t="n">
        <v>45335</v>
      </c>
      <c r="C209" s="11" t="s">
        <v>307</v>
      </c>
      <c r="D209" s="11" t="s">
        <v>49</v>
      </c>
      <c r="E209" s="11" t="s">
        <v>66</v>
      </c>
      <c r="F209" s="11" t="s">
        <v>55</v>
      </c>
      <c r="G209" s="0" t="n">
        <v>10</v>
      </c>
      <c r="H209" s="20" t="n">
        <v>1796.46</v>
      </c>
      <c r="I209" s="11" t="s">
        <v>52</v>
      </c>
      <c r="J209" s="11" t="s">
        <v>85</v>
      </c>
      <c r="K209" s="11" t="s">
        <v>63</v>
      </c>
      <c r="L209" s="20" t="n">
        <f aca="false">G209*H209</f>
        <v>17964.6</v>
      </c>
    </row>
    <row r="210" customFormat="false" ht="15" hidden="false" customHeight="false" outlineLevel="0" collapsed="false">
      <c r="A210" s="0" t="n">
        <v>1116</v>
      </c>
      <c r="B210" s="19" t="n">
        <v>45601</v>
      </c>
      <c r="C210" s="11" t="s">
        <v>308</v>
      </c>
      <c r="D210" s="11" t="s">
        <v>65</v>
      </c>
      <c r="E210" s="11" t="s">
        <v>102</v>
      </c>
      <c r="F210" s="11" t="s">
        <v>151</v>
      </c>
      <c r="G210" s="0" t="n">
        <v>9</v>
      </c>
      <c r="H210" s="20" t="n">
        <v>2168.1</v>
      </c>
      <c r="I210" s="11" t="s">
        <v>52</v>
      </c>
      <c r="J210" s="11" t="s">
        <v>85</v>
      </c>
      <c r="K210" s="11" t="s">
        <v>63</v>
      </c>
      <c r="L210" s="20" t="n">
        <f aca="false">G210*H210</f>
        <v>19512.9</v>
      </c>
    </row>
    <row r="211" customFormat="false" ht="15" hidden="false" customHeight="false" outlineLevel="0" collapsed="false">
      <c r="A211" s="0" t="n">
        <v>1129</v>
      </c>
      <c r="B211" s="19" t="n">
        <v>45452</v>
      </c>
      <c r="C211" s="11" t="s">
        <v>310</v>
      </c>
      <c r="D211" s="11" t="s">
        <v>49</v>
      </c>
      <c r="E211" s="11" t="s">
        <v>102</v>
      </c>
      <c r="F211" s="11" t="s">
        <v>103</v>
      </c>
      <c r="G211" s="0" t="n">
        <v>7</v>
      </c>
      <c r="H211" s="20" t="n">
        <v>882.76</v>
      </c>
      <c r="I211" s="11" t="s">
        <v>68</v>
      </c>
      <c r="J211" s="11" t="s">
        <v>115</v>
      </c>
      <c r="K211" s="11" t="s">
        <v>86</v>
      </c>
      <c r="L211" s="20" t="n">
        <f aca="false">G211*H211</f>
        <v>6179.32</v>
      </c>
    </row>
    <row r="212" customFormat="false" ht="15" hidden="false" customHeight="false" outlineLevel="0" collapsed="false">
      <c r="A212" s="0" t="n">
        <v>1299</v>
      </c>
      <c r="B212" s="19" t="n">
        <v>45591</v>
      </c>
      <c r="C212" s="11" t="s">
        <v>311</v>
      </c>
      <c r="D212" s="11" t="s">
        <v>65</v>
      </c>
      <c r="E212" s="11" t="s">
        <v>37</v>
      </c>
      <c r="F212" s="11" t="s">
        <v>159</v>
      </c>
      <c r="G212" s="0" t="n">
        <v>3</v>
      </c>
      <c r="H212" s="20" t="n">
        <v>1359.71</v>
      </c>
      <c r="I212" s="11" t="s">
        <v>39</v>
      </c>
      <c r="J212" s="11" t="s">
        <v>85</v>
      </c>
      <c r="K212" s="11" t="s">
        <v>41</v>
      </c>
      <c r="L212" s="20" t="n">
        <f aca="false">G212*H212</f>
        <v>4079.13</v>
      </c>
    </row>
    <row r="213" customFormat="false" ht="15" hidden="false" customHeight="false" outlineLevel="0" collapsed="false">
      <c r="A213" s="0" t="n">
        <v>1244</v>
      </c>
      <c r="B213" s="19" t="n">
        <v>45495</v>
      </c>
      <c r="C213" s="11" t="s">
        <v>494</v>
      </c>
      <c r="D213" s="11" t="s">
        <v>77</v>
      </c>
      <c r="E213" s="11" t="s">
        <v>60</v>
      </c>
      <c r="F213" s="11" t="s">
        <v>91</v>
      </c>
      <c r="G213" s="0" t="n">
        <v>10</v>
      </c>
      <c r="H213" s="20" t="n">
        <v>2350.28</v>
      </c>
      <c r="I213" s="11" t="s">
        <v>39</v>
      </c>
      <c r="J213" s="11" t="s">
        <v>85</v>
      </c>
      <c r="K213" s="11" t="s">
        <v>47</v>
      </c>
      <c r="L213" s="20" t="n">
        <f aca="false">G213*H213</f>
        <v>23502.8</v>
      </c>
    </row>
    <row r="214" customFormat="false" ht="15" hidden="false" customHeight="false" outlineLevel="0" collapsed="false">
      <c r="A214" s="0" t="n">
        <v>1057</v>
      </c>
      <c r="B214" s="19" t="n">
        <v>45625</v>
      </c>
      <c r="C214" s="11" t="s">
        <v>251</v>
      </c>
      <c r="D214" s="11" t="s">
        <v>82</v>
      </c>
      <c r="E214" s="11" t="s">
        <v>50</v>
      </c>
      <c r="F214" s="11" t="s">
        <v>72</v>
      </c>
      <c r="G214" s="0" t="n">
        <v>4</v>
      </c>
      <c r="H214" s="20" t="n">
        <v>614.09</v>
      </c>
      <c r="I214" s="11" t="s">
        <v>46</v>
      </c>
      <c r="J214" s="11" t="s">
        <v>115</v>
      </c>
      <c r="K214" s="11" t="s">
        <v>58</v>
      </c>
      <c r="L214" s="20" t="n">
        <f aca="false">G214*H214</f>
        <v>2456.36</v>
      </c>
    </row>
    <row r="215" customFormat="false" ht="15" hidden="false" customHeight="false" outlineLevel="0" collapsed="false">
      <c r="A215" s="0" t="n">
        <v>1090</v>
      </c>
      <c r="B215" s="19" t="n">
        <v>45594</v>
      </c>
      <c r="C215" s="11" t="s">
        <v>243</v>
      </c>
      <c r="D215" s="11" t="s">
        <v>65</v>
      </c>
      <c r="E215" s="11" t="s">
        <v>37</v>
      </c>
      <c r="F215" s="11" t="s">
        <v>167</v>
      </c>
      <c r="G215" s="0" t="n">
        <v>8</v>
      </c>
      <c r="H215" s="20" t="n">
        <v>317.14</v>
      </c>
      <c r="I215" s="11" t="s">
        <v>68</v>
      </c>
      <c r="J215" s="11" t="s">
        <v>115</v>
      </c>
      <c r="K215" s="11" t="s">
        <v>80</v>
      </c>
      <c r="L215" s="20" t="n">
        <f aca="false">G215*H215</f>
        <v>2537.12</v>
      </c>
    </row>
    <row r="216" customFormat="false" ht="15" hidden="false" customHeight="false" outlineLevel="0" collapsed="false">
      <c r="A216" s="0" t="n">
        <v>1059</v>
      </c>
      <c r="B216" s="19" t="n">
        <v>45347</v>
      </c>
      <c r="C216" s="11" t="s">
        <v>314</v>
      </c>
      <c r="D216" s="11" t="s">
        <v>59</v>
      </c>
      <c r="E216" s="11" t="s">
        <v>37</v>
      </c>
      <c r="F216" s="11" t="s">
        <v>93</v>
      </c>
      <c r="G216" s="0" t="n">
        <v>10</v>
      </c>
      <c r="H216" s="20" t="n">
        <v>2038.49</v>
      </c>
      <c r="I216" s="11" t="s">
        <v>68</v>
      </c>
      <c r="J216" s="11" t="s">
        <v>85</v>
      </c>
      <c r="K216" s="11" t="s">
        <v>58</v>
      </c>
      <c r="L216" s="20" t="n">
        <f aca="false">G216*H216</f>
        <v>20384.9</v>
      </c>
    </row>
    <row r="217" customFormat="false" ht="15" hidden="false" customHeight="false" outlineLevel="0" collapsed="false">
      <c r="A217" s="0" t="n">
        <v>1157</v>
      </c>
      <c r="B217" s="19" t="n">
        <v>45623</v>
      </c>
      <c r="C217" s="11" t="s">
        <v>315</v>
      </c>
      <c r="D217" s="11" t="s">
        <v>112</v>
      </c>
      <c r="E217" s="11" t="s">
        <v>60</v>
      </c>
      <c r="F217" s="11" t="s">
        <v>106</v>
      </c>
      <c r="G217" s="0" t="n">
        <v>1</v>
      </c>
      <c r="H217" s="20" t="n">
        <v>2600.08</v>
      </c>
      <c r="I217" s="11" t="s">
        <v>39</v>
      </c>
      <c r="J217" s="11" t="s">
        <v>85</v>
      </c>
      <c r="K217" s="11" t="s">
        <v>41</v>
      </c>
      <c r="L217" s="20" t="n">
        <f aca="false">G217*H217</f>
        <v>2600.08</v>
      </c>
    </row>
    <row r="218" customFormat="false" ht="15" hidden="false" customHeight="false" outlineLevel="0" collapsed="false">
      <c r="A218" s="0" t="n">
        <v>1210</v>
      </c>
      <c r="B218" s="19" t="n">
        <v>45444</v>
      </c>
      <c r="C218" s="11" t="s">
        <v>192</v>
      </c>
      <c r="D218" s="11" t="s">
        <v>49</v>
      </c>
      <c r="E218" s="11" t="s">
        <v>83</v>
      </c>
      <c r="F218" s="11" t="s">
        <v>146</v>
      </c>
      <c r="G218" s="0" t="n">
        <v>9</v>
      </c>
      <c r="H218" s="20" t="n">
        <v>1150.24</v>
      </c>
      <c r="I218" s="11" t="s">
        <v>52</v>
      </c>
      <c r="J218" s="11" t="s">
        <v>115</v>
      </c>
      <c r="K218" s="11" t="s">
        <v>63</v>
      </c>
      <c r="L218" s="20" t="n">
        <f aca="false">G218*H218</f>
        <v>10352.16</v>
      </c>
    </row>
    <row r="219" customFormat="false" ht="15" hidden="false" customHeight="false" outlineLevel="0" collapsed="false">
      <c r="A219" s="0" t="n">
        <v>1291</v>
      </c>
      <c r="B219" s="19" t="n">
        <v>45419</v>
      </c>
      <c r="C219" s="11" t="s">
        <v>318</v>
      </c>
      <c r="D219" s="11" t="s">
        <v>112</v>
      </c>
      <c r="E219" s="11" t="s">
        <v>37</v>
      </c>
      <c r="F219" s="11" t="s">
        <v>93</v>
      </c>
      <c r="G219" s="0" t="n">
        <v>5</v>
      </c>
      <c r="H219" s="20" t="n">
        <v>2481.47</v>
      </c>
      <c r="I219" s="11" t="s">
        <v>494</v>
      </c>
      <c r="J219" s="11" t="s">
        <v>115</v>
      </c>
      <c r="K219" s="11" t="s">
        <v>53</v>
      </c>
      <c r="L219" s="20" t="n">
        <f aca="false">G219*H219</f>
        <v>12407.35</v>
      </c>
    </row>
    <row r="220" customFormat="false" ht="15" hidden="false" customHeight="false" outlineLevel="0" collapsed="false">
      <c r="A220" s="0" t="n">
        <v>1239</v>
      </c>
      <c r="B220" s="19" t="n">
        <v>45473</v>
      </c>
      <c r="C220" s="11" t="s">
        <v>320</v>
      </c>
      <c r="D220" s="11" t="s">
        <v>112</v>
      </c>
      <c r="E220" s="11" t="s">
        <v>83</v>
      </c>
      <c r="F220" s="11" t="s">
        <v>146</v>
      </c>
      <c r="G220" s="0" t="n">
        <v>7</v>
      </c>
      <c r="H220" s="20" t="n">
        <v>56.78</v>
      </c>
      <c r="I220" s="11" t="s">
        <v>68</v>
      </c>
      <c r="J220" s="11" t="s">
        <v>85</v>
      </c>
      <c r="K220" s="11" t="s">
        <v>41</v>
      </c>
      <c r="L220" s="20" t="n">
        <f aca="false">G220*H220</f>
        <v>397.46</v>
      </c>
    </row>
    <row r="221" customFormat="false" ht="15" hidden="false" customHeight="false" outlineLevel="0" collapsed="false">
      <c r="A221" s="0" t="n">
        <v>1060</v>
      </c>
      <c r="B221" s="19" t="n">
        <v>45645</v>
      </c>
      <c r="C221" s="11" t="s">
        <v>307</v>
      </c>
      <c r="D221" s="11" t="s">
        <v>59</v>
      </c>
      <c r="E221" s="11" t="s">
        <v>83</v>
      </c>
      <c r="F221" s="11" t="s">
        <v>189</v>
      </c>
      <c r="G221" s="0" t="n">
        <v>10</v>
      </c>
      <c r="H221" s="20" t="n">
        <v>2420.47</v>
      </c>
      <c r="I221" s="11" t="s">
        <v>46</v>
      </c>
      <c r="J221" s="11" t="s">
        <v>85</v>
      </c>
      <c r="K221" s="11" t="s">
        <v>74</v>
      </c>
      <c r="L221" s="20" t="n">
        <f aca="false">G221*H221</f>
        <v>24204.7</v>
      </c>
    </row>
    <row r="222" customFormat="false" ht="15" hidden="false" customHeight="false" outlineLevel="0" collapsed="false">
      <c r="A222" s="0" t="n">
        <v>1233</v>
      </c>
      <c r="B222" s="19" t="n">
        <v>45398</v>
      </c>
      <c r="C222" s="11" t="s">
        <v>322</v>
      </c>
      <c r="D222" s="11" t="s">
        <v>49</v>
      </c>
      <c r="E222" s="11" t="s">
        <v>494</v>
      </c>
      <c r="F222" s="11" t="s">
        <v>106</v>
      </c>
      <c r="G222" s="0" t="n">
        <v>2</v>
      </c>
      <c r="H222" s="20" t="n">
        <v>911.85</v>
      </c>
      <c r="I222" s="11" t="s">
        <v>52</v>
      </c>
      <c r="J222" s="11" t="s">
        <v>85</v>
      </c>
      <c r="K222" s="11" t="s">
        <v>86</v>
      </c>
      <c r="L222" s="20" t="n">
        <f aca="false">G222*H222</f>
        <v>1823.7</v>
      </c>
    </row>
    <row r="223" customFormat="false" ht="15" hidden="false" customHeight="false" outlineLevel="0" collapsed="false">
      <c r="A223" s="0" t="n">
        <v>1261</v>
      </c>
      <c r="B223" s="19" t="n">
        <v>45504</v>
      </c>
      <c r="C223" s="11" t="s">
        <v>323</v>
      </c>
      <c r="D223" s="11" t="s">
        <v>43</v>
      </c>
      <c r="E223" s="11" t="s">
        <v>102</v>
      </c>
      <c r="F223" s="11" t="s">
        <v>110</v>
      </c>
      <c r="G223" s="0" t="n">
        <v>2</v>
      </c>
      <c r="H223" s="20" t="n">
        <v>1704.89</v>
      </c>
      <c r="I223" s="11" t="s">
        <v>52</v>
      </c>
      <c r="J223" s="11" t="s">
        <v>85</v>
      </c>
      <c r="K223" s="11" t="s">
        <v>53</v>
      </c>
      <c r="L223" s="20" t="n">
        <f aca="false">G223*H223</f>
        <v>3409.78</v>
      </c>
    </row>
    <row r="224" customFormat="false" ht="15" hidden="false" customHeight="false" outlineLevel="0" collapsed="false">
      <c r="A224" s="0" t="n">
        <v>1074</v>
      </c>
      <c r="B224" s="19" t="n">
        <v>45593</v>
      </c>
      <c r="C224" s="11" t="s">
        <v>196</v>
      </c>
      <c r="D224" s="11" t="s">
        <v>82</v>
      </c>
      <c r="E224" s="11" t="s">
        <v>102</v>
      </c>
      <c r="F224" s="11" t="s">
        <v>144</v>
      </c>
      <c r="G224" s="0" t="n">
        <v>10</v>
      </c>
      <c r="H224" s="20" t="n">
        <v>2881.12</v>
      </c>
      <c r="I224" s="11" t="s">
        <v>46</v>
      </c>
      <c r="J224" s="11" t="s">
        <v>115</v>
      </c>
      <c r="K224" s="11" t="s">
        <v>58</v>
      </c>
      <c r="L224" s="20" t="n">
        <f aca="false">G224*H224</f>
        <v>28811.2</v>
      </c>
    </row>
    <row r="225" customFormat="false" ht="15" hidden="false" customHeight="false" outlineLevel="0" collapsed="false">
      <c r="A225" s="0" t="n">
        <v>1007</v>
      </c>
      <c r="B225" s="19" t="n">
        <v>45635</v>
      </c>
      <c r="C225" s="11" t="s">
        <v>325</v>
      </c>
      <c r="D225" s="11" t="s">
        <v>65</v>
      </c>
      <c r="E225" s="11" t="s">
        <v>60</v>
      </c>
      <c r="F225" s="11" t="s">
        <v>91</v>
      </c>
      <c r="G225" s="0" t="n">
        <v>10</v>
      </c>
      <c r="H225" s="20" t="n">
        <v>1912.24</v>
      </c>
      <c r="I225" s="11" t="s">
        <v>52</v>
      </c>
      <c r="J225" s="11" t="s">
        <v>115</v>
      </c>
      <c r="K225" s="11" t="s">
        <v>63</v>
      </c>
      <c r="L225" s="20" t="n">
        <f aca="false">G225*H225</f>
        <v>19122.4</v>
      </c>
    </row>
    <row r="226" customFormat="false" ht="15" hidden="false" customHeight="false" outlineLevel="0" collapsed="false">
      <c r="A226" s="0" t="n">
        <v>1151</v>
      </c>
      <c r="B226" s="19" t="n">
        <v>45354</v>
      </c>
      <c r="C226" s="11" t="s">
        <v>205</v>
      </c>
      <c r="D226" s="11" t="s">
        <v>49</v>
      </c>
      <c r="E226" s="11" t="s">
        <v>37</v>
      </c>
      <c r="F226" s="11" t="s">
        <v>93</v>
      </c>
      <c r="G226" s="0" t="n">
        <v>10</v>
      </c>
      <c r="H226" s="20" t="n">
        <v>1382.2</v>
      </c>
      <c r="I226" s="11" t="s">
        <v>46</v>
      </c>
      <c r="J226" s="11" t="s">
        <v>85</v>
      </c>
      <c r="K226" s="11" t="s">
        <v>53</v>
      </c>
      <c r="L226" s="20" t="n">
        <f aca="false">G226*H226</f>
        <v>13822</v>
      </c>
    </row>
    <row r="227" customFormat="false" ht="15" hidden="false" customHeight="false" outlineLevel="0" collapsed="false">
      <c r="A227" s="0" t="n">
        <v>1295</v>
      </c>
      <c r="B227" s="19" t="n">
        <v>45617</v>
      </c>
      <c r="C227" s="11" t="s">
        <v>326</v>
      </c>
      <c r="D227" s="11" t="s">
        <v>82</v>
      </c>
      <c r="E227" s="11" t="s">
        <v>66</v>
      </c>
      <c r="F227" s="11" t="s">
        <v>55</v>
      </c>
      <c r="G227" s="0" t="n">
        <v>7</v>
      </c>
      <c r="H227" s="20" t="n">
        <v>2550.04</v>
      </c>
      <c r="I227" s="11" t="s">
        <v>39</v>
      </c>
      <c r="J227" s="11" t="s">
        <v>115</v>
      </c>
      <c r="K227" s="11" t="s">
        <v>58</v>
      </c>
      <c r="L227" s="20" t="n">
        <f aca="false">G227*H227</f>
        <v>17850.28</v>
      </c>
    </row>
    <row r="228" customFormat="false" ht="15" hidden="false" customHeight="false" outlineLevel="0" collapsed="false">
      <c r="A228" s="0" t="n">
        <v>1024</v>
      </c>
      <c r="B228" s="19" t="n">
        <v>45508</v>
      </c>
      <c r="C228" s="11" t="s">
        <v>212</v>
      </c>
      <c r="D228" s="11" t="s">
        <v>77</v>
      </c>
      <c r="E228" s="11" t="s">
        <v>102</v>
      </c>
      <c r="F228" s="11" t="s">
        <v>144</v>
      </c>
      <c r="G228" s="0" t="n">
        <v>3</v>
      </c>
      <c r="H228" s="20" t="n">
        <v>585.9</v>
      </c>
      <c r="I228" s="11" t="s">
        <v>52</v>
      </c>
      <c r="J228" s="11" t="s">
        <v>115</v>
      </c>
      <c r="K228" s="11" t="s">
        <v>53</v>
      </c>
      <c r="L228" s="20" t="n">
        <f aca="false">G228*H228</f>
        <v>1757.7</v>
      </c>
    </row>
    <row r="229" customFormat="false" ht="15" hidden="false" customHeight="false" outlineLevel="0" collapsed="false">
      <c r="A229" s="0" t="n">
        <v>1079</v>
      </c>
      <c r="B229" s="19" t="n">
        <v>45513</v>
      </c>
      <c r="C229" s="11" t="s">
        <v>160</v>
      </c>
      <c r="D229" s="11" t="s">
        <v>59</v>
      </c>
      <c r="E229" s="11" t="s">
        <v>66</v>
      </c>
      <c r="F229" s="11" t="s">
        <v>78</v>
      </c>
      <c r="G229" s="0" t="n">
        <v>1</v>
      </c>
      <c r="H229" s="20" t="n">
        <v>292.15</v>
      </c>
      <c r="I229" s="11" t="s">
        <v>46</v>
      </c>
      <c r="J229" s="11" t="s">
        <v>85</v>
      </c>
      <c r="K229" s="11" t="s">
        <v>53</v>
      </c>
      <c r="L229" s="20" t="n">
        <f aca="false">G229*H229</f>
        <v>292.15</v>
      </c>
    </row>
    <row r="230" customFormat="false" ht="15" hidden="false" customHeight="false" outlineLevel="0" collapsed="false">
      <c r="A230" s="0" t="n">
        <v>1107</v>
      </c>
      <c r="B230" s="19" t="n">
        <v>45542</v>
      </c>
      <c r="C230" s="11" t="s">
        <v>124</v>
      </c>
      <c r="D230" s="11" t="s">
        <v>59</v>
      </c>
      <c r="E230" s="11" t="s">
        <v>50</v>
      </c>
      <c r="F230" s="11" t="s">
        <v>72</v>
      </c>
      <c r="G230" s="0" t="n">
        <v>1</v>
      </c>
      <c r="H230" s="20" t="n">
        <v>2077.04</v>
      </c>
      <c r="I230" s="11" t="s">
        <v>52</v>
      </c>
      <c r="J230" s="11" t="s">
        <v>85</v>
      </c>
      <c r="K230" s="11" t="s">
        <v>63</v>
      </c>
      <c r="L230" s="20" t="n">
        <f aca="false">G230*H230</f>
        <v>2077.04</v>
      </c>
    </row>
    <row r="231" customFormat="false" ht="15" hidden="false" customHeight="false" outlineLevel="0" collapsed="false">
      <c r="A231" s="0" t="n">
        <v>1105</v>
      </c>
      <c r="B231" s="19" t="n">
        <v>45650</v>
      </c>
      <c r="C231" s="11" t="s">
        <v>169</v>
      </c>
      <c r="D231" s="11" t="s">
        <v>49</v>
      </c>
      <c r="E231" s="11" t="s">
        <v>50</v>
      </c>
      <c r="F231" s="11" t="s">
        <v>150</v>
      </c>
      <c r="G231" s="0" t="n">
        <v>2</v>
      </c>
      <c r="H231" s="20" t="n">
        <v>436.54</v>
      </c>
      <c r="I231" s="11" t="s">
        <v>46</v>
      </c>
      <c r="J231" s="11" t="s">
        <v>85</v>
      </c>
      <c r="K231" s="11" t="s">
        <v>63</v>
      </c>
      <c r="L231" s="20" t="n">
        <f aca="false">G231*H231</f>
        <v>873.08</v>
      </c>
    </row>
    <row r="232" customFormat="false" ht="15" hidden="false" customHeight="false" outlineLevel="0" collapsed="false">
      <c r="A232" s="0" t="n">
        <v>1204</v>
      </c>
      <c r="B232" s="19" t="n">
        <v>45333</v>
      </c>
      <c r="C232" s="11" t="s">
        <v>329</v>
      </c>
      <c r="D232" s="11" t="s">
        <v>112</v>
      </c>
      <c r="E232" s="11" t="s">
        <v>50</v>
      </c>
      <c r="F232" s="11" t="s">
        <v>51</v>
      </c>
      <c r="G232" s="0" t="n">
        <v>2</v>
      </c>
      <c r="H232" s="20" t="n">
        <v>2753.39</v>
      </c>
      <c r="I232" s="11" t="s">
        <v>46</v>
      </c>
      <c r="J232" s="11" t="s">
        <v>115</v>
      </c>
      <c r="K232" s="11" t="s">
        <v>58</v>
      </c>
      <c r="L232" s="20" t="n">
        <f aca="false">G232*H232</f>
        <v>5506.78</v>
      </c>
    </row>
    <row r="233" customFormat="false" ht="15" hidden="false" customHeight="false" outlineLevel="0" collapsed="false">
      <c r="A233" s="0" t="n">
        <v>1103</v>
      </c>
      <c r="B233" s="19" t="n">
        <v>45338</v>
      </c>
      <c r="C233" s="11" t="s">
        <v>331</v>
      </c>
      <c r="D233" s="11" t="s">
        <v>59</v>
      </c>
      <c r="E233" s="11" t="s">
        <v>66</v>
      </c>
      <c r="F233" s="11" t="s">
        <v>55</v>
      </c>
      <c r="G233" s="0" t="n">
        <v>9</v>
      </c>
      <c r="H233" s="20" t="n">
        <v>388.29</v>
      </c>
      <c r="I233" s="11" t="s">
        <v>39</v>
      </c>
      <c r="J233" s="11" t="s">
        <v>85</v>
      </c>
      <c r="K233" s="11" t="s">
        <v>74</v>
      </c>
      <c r="L233" s="20" t="n">
        <f aca="false">G233*H233</f>
        <v>3494.61</v>
      </c>
    </row>
    <row r="234" customFormat="false" ht="15" hidden="false" customHeight="false" outlineLevel="0" collapsed="false">
      <c r="A234" s="0" t="n">
        <v>1194</v>
      </c>
      <c r="B234" s="19" t="n">
        <v>45533</v>
      </c>
      <c r="C234" s="11" t="s">
        <v>334</v>
      </c>
      <c r="D234" s="11" t="s">
        <v>43</v>
      </c>
      <c r="E234" s="11" t="s">
        <v>102</v>
      </c>
      <c r="F234" s="11" t="s">
        <v>144</v>
      </c>
      <c r="G234" s="0" t="n">
        <v>1</v>
      </c>
      <c r="H234" s="20" t="n">
        <v>2894.27</v>
      </c>
      <c r="I234" s="11" t="s">
        <v>52</v>
      </c>
      <c r="J234" s="11" t="s">
        <v>85</v>
      </c>
      <c r="K234" s="11" t="s">
        <v>494</v>
      </c>
      <c r="L234" s="20" t="n">
        <f aca="false">G234*H234</f>
        <v>2894.27</v>
      </c>
    </row>
    <row r="235" customFormat="false" ht="15" hidden="false" customHeight="false" outlineLevel="0" collapsed="false">
      <c r="A235" s="0" t="n">
        <v>1161</v>
      </c>
      <c r="B235" s="19" t="n">
        <v>45606</v>
      </c>
      <c r="C235" s="11" t="s">
        <v>196</v>
      </c>
      <c r="D235" s="11" t="s">
        <v>82</v>
      </c>
      <c r="E235" s="11" t="s">
        <v>50</v>
      </c>
      <c r="F235" s="11" t="s">
        <v>99</v>
      </c>
      <c r="G235" s="0" t="n">
        <v>2</v>
      </c>
      <c r="H235" s="20" t="n">
        <v>2020.13</v>
      </c>
      <c r="I235" s="11" t="s">
        <v>68</v>
      </c>
      <c r="J235" s="11" t="s">
        <v>85</v>
      </c>
      <c r="K235" s="11" t="s">
        <v>80</v>
      </c>
      <c r="L235" s="20" t="n">
        <f aca="false">G235*H235</f>
        <v>4040.26</v>
      </c>
    </row>
    <row r="236" customFormat="false" ht="15" hidden="false" customHeight="false" outlineLevel="0" collapsed="false">
      <c r="A236" s="0" t="n">
        <v>1097</v>
      </c>
      <c r="B236" s="19" t="n">
        <v>45445</v>
      </c>
      <c r="C236" s="11" t="s">
        <v>318</v>
      </c>
      <c r="D236" s="11" t="s">
        <v>59</v>
      </c>
      <c r="E236" s="11" t="s">
        <v>60</v>
      </c>
      <c r="F236" s="11" t="s">
        <v>95</v>
      </c>
      <c r="G236" s="0" t="n">
        <v>8</v>
      </c>
      <c r="H236" s="20" t="n">
        <v>2539.01</v>
      </c>
      <c r="I236" s="11" t="s">
        <v>52</v>
      </c>
      <c r="J236" s="11" t="s">
        <v>85</v>
      </c>
      <c r="K236" s="11" t="s">
        <v>63</v>
      </c>
      <c r="L236" s="20" t="n">
        <f aca="false">G236*H236</f>
        <v>20312.08</v>
      </c>
    </row>
    <row r="237" customFormat="false" ht="15" hidden="false" customHeight="false" outlineLevel="0" collapsed="false">
      <c r="A237" s="0" t="n">
        <v>1131</v>
      </c>
      <c r="B237" s="19" t="n">
        <v>45405</v>
      </c>
      <c r="C237" s="11" t="s">
        <v>157</v>
      </c>
      <c r="D237" s="11" t="s">
        <v>43</v>
      </c>
      <c r="E237" s="11" t="s">
        <v>60</v>
      </c>
      <c r="F237" s="11" t="s">
        <v>61</v>
      </c>
      <c r="G237" s="0" t="n">
        <v>2</v>
      </c>
      <c r="H237" s="20" t="n">
        <v>1541.24</v>
      </c>
      <c r="I237" s="11" t="s">
        <v>46</v>
      </c>
      <c r="J237" s="11" t="s">
        <v>115</v>
      </c>
      <c r="K237" s="11" t="s">
        <v>86</v>
      </c>
      <c r="L237" s="20" t="n">
        <f aca="false">G237*H237</f>
        <v>3082.48</v>
      </c>
    </row>
    <row r="238" customFormat="false" ht="15" hidden="false" customHeight="false" outlineLevel="0" collapsed="false">
      <c r="A238" s="0" t="n">
        <v>1164</v>
      </c>
      <c r="B238" s="19" t="n">
        <v>45624</v>
      </c>
      <c r="C238" s="11" t="s">
        <v>168</v>
      </c>
      <c r="D238" s="11" t="s">
        <v>65</v>
      </c>
      <c r="E238" s="11" t="s">
        <v>102</v>
      </c>
      <c r="F238" s="11" t="s">
        <v>144</v>
      </c>
      <c r="G238" s="0" t="n">
        <v>1</v>
      </c>
      <c r="H238" s="20" t="n">
        <v>2212.31</v>
      </c>
      <c r="I238" s="11" t="s">
        <v>68</v>
      </c>
      <c r="J238" s="11" t="s">
        <v>85</v>
      </c>
      <c r="K238" s="11" t="s">
        <v>41</v>
      </c>
      <c r="L238" s="20" t="n">
        <f aca="false">G238*H238</f>
        <v>2212.31</v>
      </c>
    </row>
    <row r="239" customFormat="false" ht="15" hidden="false" customHeight="false" outlineLevel="0" collapsed="false">
      <c r="A239" s="0" t="n">
        <v>1077</v>
      </c>
      <c r="B239" s="19" t="n">
        <v>45407</v>
      </c>
      <c r="C239" s="11" t="s">
        <v>337</v>
      </c>
      <c r="D239" s="11" t="s">
        <v>43</v>
      </c>
      <c r="E239" s="11" t="s">
        <v>83</v>
      </c>
      <c r="F239" s="11" t="s">
        <v>189</v>
      </c>
      <c r="G239" s="0" t="n">
        <v>2</v>
      </c>
      <c r="H239" s="20" t="n">
        <v>197.72</v>
      </c>
      <c r="I239" s="11" t="s">
        <v>39</v>
      </c>
      <c r="J239" s="11" t="s">
        <v>85</v>
      </c>
      <c r="K239" s="11" t="s">
        <v>63</v>
      </c>
      <c r="L239" s="20" t="n">
        <f aca="false">G239*H239</f>
        <v>395.44</v>
      </c>
    </row>
    <row r="240" customFormat="false" ht="15" hidden="false" customHeight="false" outlineLevel="0" collapsed="false">
      <c r="A240" s="0" t="n">
        <v>1063</v>
      </c>
      <c r="B240" s="19" t="n">
        <v>45429</v>
      </c>
      <c r="C240" s="11" t="s">
        <v>243</v>
      </c>
      <c r="D240" s="11" t="s">
        <v>36</v>
      </c>
      <c r="E240" s="11" t="s">
        <v>102</v>
      </c>
      <c r="F240" s="11" t="s">
        <v>151</v>
      </c>
      <c r="G240" s="0" t="n">
        <v>2</v>
      </c>
      <c r="H240" s="20" t="n">
        <v>851.21</v>
      </c>
      <c r="I240" s="11" t="s">
        <v>68</v>
      </c>
      <c r="J240" s="11" t="s">
        <v>115</v>
      </c>
      <c r="K240" s="11" t="s">
        <v>63</v>
      </c>
      <c r="L240" s="20" t="n">
        <f aca="false">G240*H240</f>
        <v>1702.42</v>
      </c>
    </row>
    <row r="241" customFormat="false" ht="15" hidden="false" customHeight="false" outlineLevel="0" collapsed="false">
      <c r="A241" s="0" t="n">
        <v>1036</v>
      </c>
      <c r="B241" s="19" t="n">
        <v>45487</v>
      </c>
      <c r="C241" s="11" t="s">
        <v>178</v>
      </c>
      <c r="D241" s="11" t="s">
        <v>77</v>
      </c>
      <c r="E241" s="11" t="s">
        <v>37</v>
      </c>
      <c r="F241" s="11" t="s">
        <v>108</v>
      </c>
      <c r="G241" s="0" t="n">
        <v>4</v>
      </c>
      <c r="H241" s="20" t="n">
        <v>614.73</v>
      </c>
      <c r="I241" s="11" t="s">
        <v>68</v>
      </c>
      <c r="J241" s="11" t="s">
        <v>85</v>
      </c>
      <c r="K241" s="11" t="s">
        <v>47</v>
      </c>
      <c r="L241" s="20" t="n">
        <f aca="false">G241*H241</f>
        <v>2458.92</v>
      </c>
    </row>
    <row r="242" customFormat="false" ht="15" hidden="false" customHeight="false" outlineLevel="0" collapsed="false">
      <c r="A242" s="0" t="n">
        <v>1059</v>
      </c>
      <c r="B242" s="19" t="n">
        <v>45347</v>
      </c>
      <c r="C242" s="11" t="s">
        <v>314</v>
      </c>
      <c r="D242" s="11" t="s">
        <v>59</v>
      </c>
      <c r="E242" s="11" t="s">
        <v>37</v>
      </c>
      <c r="F242" s="11" t="s">
        <v>93</v>
      </c>
      <c r="G242" s="0" t="n">
        <v>10</v>
      </c>
      <c r="H242" s="20" t="n">
        <v>2038.49</v>
      </c>
      <c r="I242" s="11" t="s">
        <v>68</v>
      </c>
      <c r="J242" s="11" t="s">
        <v>85</v>
      </c>
      <c r="K242" s="11" t="s">
        <v>58</v>
      </c>
      <c r="L242" s="20" t="n">
        <f aca="false">G242*H242</f>
        <v>20384.9</v>
      </c>
    </row>
    <row r="243" customFormat="false" ht="15" hidden="false" customHeight="false" outlineLevel="0" collapsed="false">
      <c r="A243" s="0" t="n">
        <v>1114</v>
      </c>
      <c r="B243" s="19" t="n">
        <v>45497</v>
      </c>
      <c r="C243" s="11" t="s">
        <v>339</v>
      </c>
      <c r="D243" s="11" t="s">
        <v>65</v>
      </c>
      <c r="E243" s="11" t="s">
        <v>83</v>
      </c>
      <c r="F243" s="11" t="s">
        <v>84</v>
      </c>
      <c r="G243" s="0" t="n">
        <v>8</v>
      </c>
      <c r="H243" s="20" t="n">
        <v>2142.96</v>
      </c>
      <c r="I243" s="11" t="s">
        <v>68</v>
      </c>
      <c r="J243" s="11" t="s">
        <v>115</v>
      </c>
      <c r="K243" s="11" t="s">
        <v>41</v>
      </c>
      <c r="L243" s="20" t="n">
        <f aca="false">G243*H243</f>
        <v>17143.68</v>
      </c>
    </row>
    <row r="244" customFormat="false" ht="15" hidden="false" customHeight="false" outlineLevel="0" collapsed="false">
      <c r="A244" s="0" t="n">
        <v>1201</v>
      </c>
      <c r="B244" s="19" t="n">
        <v>45585</v>
      </c>
      <c r="C244" s="11" t="s">
        <v>340</v>
      </c>
      <c r="D244" s="11" t="s">
        <v>112</v>
      </c>
      <c r="E244" s="11" t="s">
        <v>60</v>
      </c>
      <c r="F244" s="11" t="s">
        <v>95</v>
      </c>
      <c r="G244" s="0" t="n">
        <v>4</v>
      </c>
      <c r="H244" s="20" t="n">
        <v>205.13</v>
      </c>
      <c r="I244" s="11" t="s">
        <v>46</v>
      </c>
      <c r="J244" s="11" t="s">
        <v>85</v>
      </c>
      <c r="K244" s="11" t="s">
        <v>47</v>
      </c>
      <c r="L244" s="20" t="n">
        <f aca="false">G244*H244</f>
        <v>820.52</v>
      </c>
    </row>
    <row r="245" customFormat="false" ht="15" hidden="false" customHeight="false" outlineLevel="0" collapsed="false">
      <c r="A245" s="0" t="n">
        <v>1209</v>
      </c>
      <c r="B245" s="19" t="n">
        <v>45641</v>
      </c>
      <c r="C245" s="11" t="s">
        <v>274</v>
      </c>
      <c r="D245" s="11" t="s">
        <v>112</v>
      </c>
      <c r="E245" s="11" t="s">
        <v>102</v>
      </c>
      <c r="F245" s="11" t="s">
        <v>103</v>
      </c>
      <c r="G245" s="0" t="n">
        <v>2</v>
      </c>
      <c r="H245" s="20" t="n">
        <v>551.85</v>
      </c>
      <c r="I245" s="11" t="s">
        <v>68</v>
      </c>
      <c r="J245" s="11" t="s">
        <v>115</v>
      </c>
      <c r="K245" s="11" t="s">
        <v>58</v>
      </c>
      <c r="L245" s="20" t="n">
        <f aca="false">G245*H245</f>
        <v>1103.7</v>
      </c>
    </row>
    <row r="246" customFormat="false" ht="15" hidden="false" customHeight="false" outlineLevel="0" collapsed="false">
      <c r="A246" s="0" t="n">
        <v>1207</v>
      </c>
      <c r="B246" s="19" t="n">
        <v>45293</v>
      </c>
      <c r="C246" s="11" t="s">
        <v>344</v>
      </c>
      <c r="D246" s="11" t="s">
        <v>65</v>
      </c>
      <c r="E246" s="11" t="s">
        <v>102</v>
      </c>
      <c r="F246" s="11" t="s">
        <v>144</v>
      </c>
      <c r="G246" s="0" t="n">
        <v>1</v>
      </c>
      <c r="H246" s="20" t="n">
        <v>1282.62</v>
      </c>
      <c r="I246" s="11" t="s">
        <v>46</v>
      </c>
      <c r="J246" s="11" t="s">
        <v>115</v>
      </c>
      <c r="K246" s="11" t="s">
        <v>41</v>
      </c>
      <c r="L246" s="20" t="n">
        <f aca="false">G246*H246</f>
        <v>1282.62</v>
      </c>
    </row>
    <row r="247" customFormat="false" ht="15" hidden="false" customHeight="false" outlineLevel="0" collapsed="false">
      <c r="A247" s="0" t="n">
        <v>1259</v>
      </c>
      <c r="B247" s="19" t="n">
        <v>45508</v>
      </c>
      <c r="C247" s="11" t="s">
        <v>182</v>
      </c>
      <c r="D247" s="11" t="s">
        <v>43</v>
      </c>
      <c r="E247" s="11" t="s">
        <v>66</v>
      </c>
      <c r="F247" s="11" t="s">
        <v>45</v>
      </c>
      <c r="G247" s="0" t="n">
        <v>9</v>
      </c>
      <c r="H247" s="20" t="n">
        <v>517.26</v>
      </c>
      <c r="I247" s="11" t="s">
        <v>39</v>
      </c>
      <c r="J247" s="11" t="s">
        <v>115</v>
      </c>
      <c r="K247" s="11" t="s">
        <v>494</v>
      </c>
      <c r="L247" s="20" t="n">
        <f aca="false">G247*H247</f>
        <v>4655.34</v>
      </c>
    </row>
    <row r="248" customFormat="false" ht="15" hidden="false" customHeight="false" outlineLevel="0" collapsed="false">
      <c r="A248" s="0" t="n">
        <v>1300</v>
      </c>
      <c r="B248" s="19" t="n">
        <v>45398</v>
      </c>
      <c r="C248" s="11" t="s">
        <v>203</v>
      </c>
      <c r="D248" s="11" t="s">
        <v>77</v>
      </c>
      <c r="E248" s="11" t="s">
        <v>66</v>
      </c>
      <c r="F248" s="11" t="s">
        <v>55</v>
      </c>
      <c r="G248" s="0" t="n">
        <v>5</v>
      </c>
      <c r="H248" s="20" t="n">
        <v>2560.4</v>
      </c>
      <c r="I248" s="11" t="s">
        <v>46</v>
      </c>
      <c r="J248" s="11" t="s">
        <v>115</v>
      </c>
      <c r="K248" s="11" t="s">
        <v>47</v>
      </c>
      <c r="L248" s="20" t="n">
        <f aca="false">G248*H248</f>
        <v>12802</v>
      </c>
    </row>
    <row r="249" customFormat="false" ht="15" hidden="false" customHeight="false" outlineLevel="0" collapsed="false">
      <c r="A249" s="0" t="n">
        <v>1030</v>
      </c>
      <c r="B249" s="19" t="n">
        <v>45445</v>
      </c>
      <c r="C249" s="11" t="s">
        <v>311</v>
      </c>
      <c r="D249" s="11" t="s">
        <v>59</v>
      </c>
      <c r="E249" s="11" t="s">
        <v>50</v>
      </c>
      <c r="F249" s="11" t="s">
        <v>51</v>
      </c>
      <c r="G249" s="0" t="n">
        <v>2</v>
      </c>
      <c r="H249" s="20" t="n">
        <v>2671.34</v>
      </c>
      <c r="I249" s="11" t="s">
        <v>52</v>
      </c>
      <c r="J249" s="11" t="s">
        <v>85</v>
      </c>
      <c r="K249" s="11" t="s">
        <v>47</v>
      </c>
      <c r="L249" s="20" t="n">
        <f aca="false">G249*H249</f>
        <v>5342.68</v>
      </c>
    </row>
    <row r="250" customFormat="false" ht="15" hidden="false" customHeight="false" outlineLevel="0" collapsed="false">
      <c r="A250" s="0" t="n">
        <v>1269</v>
      </c>
      <c r="B250" s="19" t="n">
        <v>45498</v>
      </c>
      <c r="C250" s="11" t="s">
        <v>346</v>
      </c>
      <c r="D250" s="11" t="s">
        <v>59</v>
      </c>
      <c r="E250" s="11" t="s">
        <v>83</v>
      </c>
      <c r="F250" s="11" t="s">
        <v>146</v>
      </c>
      <c r="G250" s="0" t="n">
        <v>6</v>
      </c>
      <c r="H250" s="20" t="n">
        <v>1374.99</v>
      </c>
      <c r="I250" s="11" t="s">
        <v>68</v>
      </c>
      <c r="J250" s="11" t="s">
        <v>85</v>
      </c>
      <c r="K250" s="11" t="s">
        <v>53</v>
      </c>
      <c r="L250" s="20" t="n">
        <f aca="false">G250*H250</f>
        <v>8249.94</v>
      </c>
    </row>
    <row r="251" customFormat="false" ht="15" hidden="false" customHeight="false" outlineLevel="0" collapsed="false">
      <c r="A251" s="0" t="n">
        <v>1046</v>
      </c>
      <c r="B251" s="19" t="n">
        <v>45391</v>
      </c>
      <c r="C251" s="11" t="s">
        <v>283</v>
      </c>
      <c r="D251" s="11" t="s">
        <v>49</v>
      </c>
      <c r="E251" s="11" t="s">
        <v>50</v>
      </c>
      <c r="F251" s="11" t="s">
        <v>51</v>
      </c>
      <c r="G251" s="0" t="n">
        <v>4</v>
      </c>
      <c r="H251" s="20" t="n">
        <v>459.76</v>
      </c>
      <c r="I251" s="11" t="s">
        <v>46</v>
      </c>
      <c r="J251" s="11" t="s">
        <v>115</v>
      </c>
      <c r="K251" s="11" t="s">
        <v>74</v>
      </c>
      <c r="L251" s="20" t="n">
        <f aca="false">G251*H251</f>
        <v>1839.04</v>
      </c>
    </row>
    <row r="252" customFormat="false" ht="15" hidden="false" customHeight="false" outlineLevel="0" collapsed="false">
      <c r="A252" s="0" t="n">
        <v>1108</v>
      </c>
      <c r="B252" s="19" t="n">
        <v>45525</v>
      </c>
      <c r="C252" s="11" t="s">
        <v>347</v>
      </c>
      <c r="D252" s="11" t="s">
        <v>112</v>
      </c>
      <c r="E252" s="11" t="s">
        <v>37</v>
      </c>
      <c r="F252" s="11" t="s">
        <v>93</v>
      </c>
      <c r="G252" s="0" t="n">
        <v>1</v>
      </c>
      <c r="H252" s="20" t="n">
        <v>1206.46</v>
      </c>
      <c r="I252" s="11" t="s">
        <v>52</v>
      </c>
      <c r="J252" s="11" t="s">
        <v>115</v>
      </c>
      <c r="K252" s="11" t="s">
        <v>63</v>
      </c>
      <c r="L252" s="20" t="n">
        <f aca="false">G252*H252</f>
        <v>1206.46</v>
      </c>
    </row>
    <row r="253" customFormat="false" ht="15" hidden="false" customHeight="false" outlineLevel="0" collapsed="false">
      <c r="A253" s="0" t="n">
        <v>1015</v>
      </c>
      <c r="B253" s="19" t="n">
        <v>45349</v>
      </c>
      <c r="C253" s="11" t="s">
        <v>48</v>
      </c>
      <c r="D253" s="11" t="s">
        <v>59</v>
      </c>
      <c r="E253" s="11" t="s">
        <v>102</v>
      </c>
      <c r="F253" s="11" t="s">
        <v>103</v>
      </c>
      <c r="G253" s="0" t="n">
        <v>4</v>
      </c>
      <c r="H253" s="20" t="n">
        <v>192.62</v>
      </c>
      <c r="I253" s="11" t="s">
        <v>46</v>
      </c>
      <c r="J253" s="11" t="s">
        <v>115</v>
      </c>
      <c r="K253" s="11" t="s">
        <v>63</v>
      </c>
      <c r="L253" s="20" t="n">
        <f aca="false">G253*H253</f>
        <v>770.48</v>
      </c>
    </row>
    <row r="254" customFormat="false" ht="15" hidden="false" customHeight="false" outlineLevel="0" collapsed="false">
      <c r="A254" s="0" t="n">
        <v>1033</v>
      </c>
      <c r="B254" s="19" t="n">
        <v>45645</v>
      </c>
      <c r="C254" s="11" t="s">
        <v>348</v>
      </c>
      <c r="D254" s="11" t="s">
        <v>82</v>
      </c>
      <c r="E254" s="11" t="s">
        <v>83</v>
      </c>
      <c r="F254" s="11" t="s">
        <v>146</v>
      </c>
      <c r="G254" s="0" t="n">
        <v>6</v>
      </c>
      <c r="H254" s="20" t="n">
        <v>1755.88</v>
      </c>
      <c r="I254" s="11" t="s">
        <v>52</v>
      </c>
      <c r="J254" s="11" t="s">
        <v>85</v>
      </c>
      <c r="K254" s="11" t="s">
        <v>80</v>
      </c>
      <c r="L254" s="20" t="n">
        <f aca="false">G254*H254</f>
        <v>10535.28</v>
      </c>
    </row>
    <row r="255" customFormat="false" ht="15" hidden="false" customHeight="false" outlineLevel="0" collapsed="false">
      <c r="A255" s="0" t="n">
        <v>1182</v>
      </c>
      <c r="B255" s="19" t="n">
        <v>45611</v>
      </c>
      <c r="C255" s="11" t="s">
        <v>349</v>
      </c>
      <c r="D255" s="11" t="s">
        <v>43</v>
      </c>
      <c r="E255" s="11" t="s">
        <v>66</v>
      </c>
      <c r="F255" s="11" t="s">
        <v>55</v>
      </c>
      <c r="G255" s="0" t="n">
        <v>2</v>
      </c>
      <c r="H255" s="20" t="n">
        <v>1193.83</v>
      </c>
      <c r="I255" s="11" t="s">
        <v>39</v>
      </c>
      <c r="J255" s="11" t="s">
        <v>85</v>
      </c>
      <c r="K255" s="11" t="s">
        <v>80</v>
      </c>
      <c r="L255" s="20" t="n">
        <f aca="false">G255*H255</f>
        <v>2387.66</v>
      </c>
    </row>
    <row r="256" customFormat="false" ht="15" hidden="false" customHeight="false" outlineLevel="0" collapsed="false">
      <c r="A256" s="0" t="n">
        <v>1016</v>
      </c>
      <c r="B256" s="19" t="n">
        <v>45356</v>
      </c>
      <c r="C256" s="11" t="s">
        <v>185</v>
      </c>
      <c r="D256" s="11" t="s">
        <v>494</v>
      </c>
      <c r="E256" s="11" t="s">
        <v>83</v>
      </c>
      <c r="F256" s="11" t="s">
        <v>189</v>
      </c>
      <c r="G256" s="0" t="n">
        <v>9</v>
      </c>
      <c r="H256" s="20" t="n">
        <v>512.08</v>
      </c>
      <c r="I256" s="11" t="s">
        <v>68</v>
      </c>
      <c r="J256" s="11" t="s">
        <v>115</v>
      </c>
      <c r="K256" s="11" t="s">
        <v>58</v>
      </c>
      <c r="L256" s="20" t="n">
        <f aca="false">G256*H256</f>
        <v>4608.72</v>
      </c>
    </row>
    <row r="257" customFormat="false" ht="15" hidden="false" customHeight="false" outlineLevel="0" collapsed="false">
      <c r="A257" s="0" t="n">
        <v>1193</v>
      </c>
      <c r="B257" s="19" t="n">
        <v>45592</v>
      </c>
      <c r="C257" s="11" t="s">
        <v>351</v>
      </c>
      <c r="D257" s="11" t="s">
        <v>82</v>
      </c>
      <c r="E257" s="11" t="s">
        <v>83</v>
      </c>
      <c r="F257" s="11" t="s">
        <v>189</v>
      </c>
      <c r="G257" s="0" t="n">
        <v>9</v>
      </c>
      <c r="H257" s="20" t="n">
        <v>692.5</v>
      </c>
      <c r="I257" s="11" t="s">
        <v>52</v>
      </c>
      <c r="J257" s="11" t="s">
        <v>115</v>
      </c>
      <c r="K257" s="11" t="s">
        <v>41</v>
      </c>
      <c r="L257" s="20" t="n">
        <f aca="false">G257*H257</f>
        <v>6232.5</v>
      </c>
    </row>
    <row r="258" customFormat="false" ht="15" hidden="false" customHeight="false" outlineLevel="0" collapsed="false">
      <c r="A258" s="0" t="n">
        <v>1012</v>
      </c>
      <c r="B258" s="19" t="n">
        <v>45597</v>
      </c>
      <c r="C258" s="11" t="s">
        <v>294</v>
      </c>
      <c r="D258" s="11" t="s">
        <v>59</v>
      </c>
      <c r="E258" s="11" t="s">
        <v>102</v>
      </c>
      <c r="F258" s="11" t="s">
        <v>110</v>
      </c>
      <c r="G258" s="0" t="n">
        <v>9</v>
      </c>
      <c r="H258" s="20" t="n">
        <v>2585.12</v>
      </c>
      <c r="I258" s="11" t="s">
        <v>46</v>
      </c>
      <c r="J258" s="11" t="s">
        <v>115</v>
      </c>
      <c r="K258" s="11" t="s">
        <v>47</v>
      </c>
      <c r="L258" s="20" t="n">
        <f aca="false">G258*H258</f>
        <v>23266.08</v>
      </c>
    </row>
    <row r="259" customFormat="false" ht="15" hidden="false" customHeight="false" outlineLevel="0" collapsed="false">
      <c r="A259" s="0" t="n">
        <v>1222</v>
      </c>
      <c r="B259" s="19" t="n">
        <v>45455</v>
      </c>
      <c r="C259" s="11" t="s">
        <v>352</v>
      </c>
      <c r="D259" s="11" t="s">
        <v>112</v>
      </c>
      <c r="E259" s="11" t="s">
        <v>50</v>
      </c>
      <c r="F259" s="11" t="s">
        <v>150</v>
      </c>
      <c r="G259" s="0" t="n">
        <v>7</v>
      </c>
      <c r="H259" s="20" t="n">
        <v>156.23</v>
      </c>
      <c r="I259" s="11" t="s">
        <v>52</v>
      </c>
      <c r="J259" s="11" t="s">
        <v>115</v>
      </c>
      <c r="K259" s="11" t="s">
        <v>53</v>
      </c>
      <c r="L259" s="20" t="n">
        <f aca="false">G259*H259</f>
        <v>1093.61</v>
      </c>
    </row>
    <row r="260" customFormat="false" ht="15" hidden="false" customHeight="false" outlineLevel="0" collapsed="false">
      <c r="A260" s="0" t="n">
        <v>1238</v>
      </c>
      <c r="B260" s="19" t="n">
        <v>45476</v>
      </c>
      <c r="C260" s="11" t="s">
        <v>41</v>
      </c>
      <c r="D260" s="11" t="s">
        <v>43</v>
      </c>
      <c r="E260" s="11" t="s">
        <v>60</v>
      </c>
      <c r="F260" s="11" t="s">
        <v>117</v>
      </c>
      <c r="G260" s="0" t="n">
        <v>2</v>
      </c>
      <c r="H260" s="20" t="n">
        <v>578.43</v>
      </c>
      <c r="I260" s="11" t="s">
        <v>68</v>
      </c>
      <c r="J260" s="11" t="s">
        <v>85</v>
      </c>
      <c r="K260" s="11" t="s">
        <v>41</v>
      </c>
      <c r="L260" s="20" t="n">
        <f aca="false">G260*H260</f>
        <v>1156.86</v>
      </c>
    </row>
    <row r="261" customFormat="false" ht="15" hidden="false" customHeight="false" outlineLevel="0" collapsed="false">
      <c r="A261" s="0" t="n">
        <v>1296</v>
      </c>
      <c r="B261" s="19" t="n">
        <v>45506</v>
      </c>
      <c r="C261" s="11" t="s">
        <v>353</v>
      </c>
      <c r="D261" s="11" t="s">
        <v>43</v>
      </c>
      <c r="E261" s="11" t="s">
        <v>66</v>
      </c>
      <c r="F261" s="11" t="s">
        <v>88</v>
      </c>
      <c r="G261" s="0" t="n">
        <v>5</v>
      </c>
      <c r="H261" s="20" t="n">
        <v>297.22</v>
      </c>
      <c r="I261" s="11" t="s">
        <v>52</v>
      </c>
      <c r="J261" s="11" t="s">
        <v>85</v>
      </c>
      <c r="K261" s="11" t="s">
        <v>86</v>
      </c>
      <c r="L261" s="20" t="n">
        <f aca="false">G261*H261</f>
        <v>1486.1</v>
      </c>
    </row>
    <row r="262" customFormat="false" ht="15" hidden="false" customHeight="false" outlineLevel="0" collapsed="false">
      <c r="A262" s="0" t="n">
        <v>1271</v>
      </c>
      <c r="B262" s="19" t="n">
        <v>45437</v>
      </c>
      <c r="C262" s="11" t="s">
        <v>354</v>
      </c>
      <c r="D262" s="11" t="s">
        <v>43</v>
      </c>
      <c r="E262" s="11" t="s">
        <v>60</v>
      </c>
      <c r="F262" s="11" t="s">
        <v>61</v>
      </c>
      <c r="G262" s="0" t="n">
        <v>10</v>
      </c>
      <c r="H262" s="20" t="n">
        <v>2560.22</v>
      </c>
      <c r="I262" s="11" t="s">
        <v>39</v>
      </c>
      <c r="J262" s="11" t="s">
        <v>115</v>
      </c>
      <c r="K262" s="11" t="s">
        <v>53</v>
      </c>
      <c r="L262" s="20" t="n">
        <f aca="false">G262*H262</f>
        <v>25602.2</v>
      </c>
    </row>
    <row r="263" customFormat="false" ht="15" hidden="false" customHeight="false" outlineLevel="0" collapsed="false">
      <c r="A263" s="0" t="n">
        <v>1096</v>
      </c>
      <c r="B263" s="19" t="n">
        <v>45527</v>
      </c>
      <c r="C263" s="11" t="s">
        <v>126</v>
      </c>
      <c r="D263" s="11" t="s">
        <v>82</v>
      </c>
      <c r="E263" s="11" t="s">
        <v>50</v>
      </c>
      <c r="F263" s="11" t="s">
        <v>99</v>
      </c>
      <c r="G263" s="0" t="n">
        <v>8</v>
      </c>
      <c r="H263" s="20" t="n">
        <v>2705.6</v>
      </c>
      <c r="I263" s="11" t="s">
        <v>52</v>
      </c>
      <c r="J263" s="11" t="s">
        <v>115</v>
      </c>
      <c r="K263" s="11" t="s">
        <v>63</v>
      </c>
      <c r="L263" s="20" t="n">
        <f aca="false">G263*H263</f>
        <v>21644.8</v>
      </c>
    </row>
    <row r="264" customFormat="false" ht="15" hidden="false" customHeight="false" outlineLevel="0" collapsed="false">
      <c r="A264" s="0" t="n">
        <v>1255</v>
      </c>
      <c r="B264" s="19" t="n">
        <v>45652</v>
      </c>
      <c r="C264" s="11" t="s">
        <v>330</v>
      </c>
      <c r="D264" s="11" t="s">
        <v>59</v>
      </c>
      <c r="E264" s="11" t="s">
        <v>102</v>
      </c>
      <c r="F264" s="11" t="s">
        <v>103</v>
      </c>
      <c r="G264" s="0" t="n">
        <v>2</v>
      </c>
      <c r="H264" s="20" t="n">
        <v>1740.5</v>
      </c>
      <c r="I264" s="11" t="s">
        <v>52</v>
      </c>
      <c r="J264" s="11" t="s">
        <v>85</v>
      </c>
      <c r="K264" s="11" t="s">
        <v>86</v>
      </c>
      <c r="L264" s="20" t="n">
        <f aca="false">G264*H264</f>
        <v>3481</v>
      </c>
    </row>
    <row r="265" customFormat="false" ht="15" hidden="false" customHeight="false" outlineLevel="0" collapsed="false">
      <c r="A265" s="0" t="n">
        <v>1267</v>
      </c>
      <c r="B265" s="19" t="n">
        <v>45361</v>
      </c>
      <c r="C265" s="11" t="s">
        <v>130</v>
      </c>
      <c r="D265" s="11" t="s">
        <v>59</v>
      </c>
      <c r="E265" s="11" t="s">
        <v>66</v>
      </c>
      <c r="F265" s="11" t="s">
        <v>78</v>
      </c>
      <c r="G265" s="0" t="n">
        <v>3</v>
      </c>
      <c r="H265" s="20" t="n">
        <v>2110.25</v>
      </c>
      <c r="I265" s="11" t="s">
        <v>52</v>
      </c>
      <c r="J265" s="11" t="s">
        <v>115</v>
      </c>
      <c r="K265" s="11" t="s">
        <v>80</v>
      </c>
      <c r="L265" s="20" t="n">
        <f aca="false">G265*H265</f>
        <v>6330.75</v>
      </c>
    </row>
    <row r="266" customFormat="false" ht="15" hidden="false" customHeight="false" outlineLevel="0" collapsed="false">
      <c r="A266" s="0" t="n">
        <v>1137</v>
      </c>
      <c r="B266" s="19" t="n">
        <v>45657</v>
      </c>
      <c r="C266" s="11" t="s">
        <v>356</v>
      </c>
      <c r="D266" s="11" t="s">
        <v>43</v>
      </c>
      <c r="E266" s="11" t="s">
        <v>83</v>
      </c>
      <c r="F266" s="11" t="s">
        <v>164</v>
      </c>
      <c r="G266" s="0" t="n">
        <v>1</v>
      </c>
      <c r="H266" s="20" t="n">
        <v>758.28</v>
      </c>
      <c r="I266" s="11" t="s">
        <v>68</v>
      </c>
      <c r="J266" s="11" t="s">
        <v>85</v>
      </c>
      <c r="K266" s="11" t="s">
        <v>80</v>
      </c>
      <c r="L266" s="20" t="n">
        <f aca="false">G266*H266</f>
        <v>758.28</v>
      </c>
    </row>
    <row r="267" customFormat="false" ht="15" hidden="false" customHeight="false" outlineLevel="0" collapsed="false">
      <c r="A267" s="0" t="n">
        <v>1292</v>
      </c>
      <c r="B267" s="19" t="n">
        <v>45556</v>
      </c>
      <c r="C267" s="11" t="s">
        <v>357</v>
      </c>
      <c r="D267" s="11" t="s">
        <v>65</v>
      </c>
      <c r="E267" s="11" t="s">
        <v>37</v>
      </c>
      <c r="F267" s="11" t="s">
        <v>159</v>
      </c>
      <c r="G267" s="0" t="n">
        <v>8</v>
      </c>
      <c r="H267" s="20" t="n">
        <v>2600.78</v>
      </c>
      <c r="I267" s="11" t="s">
        <v>39</v>
      </c>
      <c r="J267" s="11" t="s">
        <v>85</v>
      </c>
      <c r="K267" s="11" t="s">
        <v>358</v>
      </c>
      <c r="L267" s="20" t="n">
        <f aca="false">G267*H267</f>
        <v>20806.24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0" min="2" style="0" width="14"/>
  </cols>
  <sheetData>
    <row r="1" customFormat="false" ht="19.7" hidden="false" customHeight="false" outlineLevel="0" collapsed="false">
      <c r="A1" s="4" t="s">
        <v>495</v>
      </c>
      <c r="B1" s="4"/>
      <c r="C1" s="4"/>
      <c r="D1" s="4"/>
      <c r="E1" s="4"/>
      <c r="F1" s="4"/>
      <c r="G1" s="4"/>
      <c r="H1" s="4"/>
    </row>
    <row r="2" customFormat="false" ht="30" hidden="false" customHeight="true" outlineLevel="0" collapsed="false">
      <c r="A2" s="5" t="s">
        <v>496</v>
      </c>
      <c r="B2" s="5"/>
      <c r="C2" s="5"/>
      <c r="D2" s="5"/>
      <c r="E2" s="5"/>
      <c r="F2" s="5"/>
      <c r="G2" s="5"/>
      <c r="H2" s="5"/>
    </row>
    <row r="4" customFormat="false" ht="15" hidden="false" customHeight="false" outlineLevel="0" collapsed="false">
      <c r="A4" s="21" t="s">
        <v>497</v>
      </c>
    </row>
    <row r="5" customFormat="false" ht="15" hidden="false" customHeight="false" outlineLevel="0" collapsed="false">
      <c r="A5" s="22" t="s">
        <v>498</v>
      </c>
      <c r="B5" s="22" t="s">
        <v>65</v>
      </c>
      <c r="C5" s="22" t="s">
        <v>112</v>
      </c>
      <c r="D5" s="22" t="s">
        <v>82</v>
      </c>
      <c r="E5" s="22" t="s">
        <v>43</v>
      </c>
      <c r="F5" s="22" t="s">
        <v>59</v>
      </c>
      <c r="G5" s="22" t="s">
        <v>49</v>
      </c>
      <c r="H5" s="22" t="s">
        <v>36</v>
      </c>
      <c r="I5" s="22" t="s">
        <v>77</v>
      </c>
      <c r="J5" s="22" t="s">
        <v>499</v>
      </c>
    </row>
    <row r="6" customFormat="false" ht="15" hidden="false" customHeight="false" outlineLevel="0" collapsed="false">
      <c r="A6" s="23" t="s">
        <v>50</v>
      </c>
      <c r="B6" s="24" t="n">
        <f aca="false">SUMIFS(CleanedData[Total Sales],CleanedData[ProductCategory],$A6,CleanedData[City],B$5)</f>
        <v>20720.35</v>
      </c>
      <c r="C6" s="24" t="n">
        <f aca="false">SUMIFS(CleanedData[Total Sales],CleanedData[ProductCategory],$A6,CleanedData[City],C$5)</f>
        <v>30875.62</v>
      </c>
      <c r="D6" s="24" t="n">
        <f aca="false">SUMIFS(CleanedData[Total Sales],CleanedData[ProductCategory],$A6,CleanedData[City],D$5)</f>
        <v>54953.66</v>
      </c>
      <c r="E6" s="24" t="n">
        <f aca="false">SUMIFS(CleanedData[Total Sales],CleanedData[ProductCategory],$A6,CleanedData[City],E$5)</f>
        <v>25778.61</v>
      </c>
      <c r="F6" s="24" t="n">
        <f aca="false">SUMIFS(CleanedData[Total Sales],CleanedData[ProductCategory],$A6,CleanedData[City],F$5)</f>
        <v>20127.38</v>
      </c>
      <c r="G6" s="24" t="n">
        <f aca="false">SUMIFS(CleanedData[Total Sales],CleanedData[ProductCategory],$A6,CleanedData[City],G$5)</f>
        <v>26074.82</v>
      </c>
      <c r="H6" s="24" t="n">
        <f aca="false">SUMIFS(CleanedData[Total Sales],CleanedData[ProductCategory],$A6,CleanedData[City],H$5)</f>
        <v>65219.01</v>
      </c>
      <c r="I6" s="24" t="n">
        <f aca="false">SUMIFS(CleanedData[Total Sales],CleanedData[ProductCategory],$A6,CleanedData[City],I$5)</f>
        <v>23134.86</v>
      </c>
      <c r="J6" s="24" t="n">
        <f aca="false">SUM(B6:I6)</f>
        <v>266884.31</v>
      </c>
    </row>
    <row r="7" customFormat="false" ht="15" hidden="false" customHeight="false" outlineLevel="0" collapsed="false">
      <c r="A7" s="23" t="s">
        <v>37</v>
      </c>
      <c r="B7" s="24" t="n">
        <f aca="false">SUMIFS(CleanedData[Total Sales],CleanedData[ProductCategory],$A7,CleanedData[City],B$5)</f>
        <v>44560.43</v>
      </c>
      <c r="C7" s="24" t="n">
        <f aca="false">SUMIFS(CleanedData[Total Sales],CleanedData[ProductCategory],$A7,CleanedData[City],C$5)</f>
        <v>55166.57</v>
      </c>
      <c r="D7" s="24" t="n">
        <f aca="false">SUMIFS(CleanedData[Total Sales],CleanedData[ProductCategory],$A7,CleanedData[City],D$5)</f>
        <v>38257.11</v>
      </c>
      <c r="E7" s="24" t="n">
        <f aca="false">SUMIFS(CleanedData[Total Sales],CleanedData[ProductCategory],$A7,CleanedData[City],E$5)</f>
        <v>60007.48</v>
      </c>
      <c r="F7" s="24" t="n">
        <f aca="false">SUMIFS(CleanedData[Total Sales],CleanedData[ProductCategory],$A7,CleanedData[City],F$5)</f>
        <v>64906.07</v>
      </c>
      <c r="G7" s="24" t="n">
        <f aca="false">SUMIFS(CleanedData[Total Sales],CleanedData[ProductCategory],$A7,CleanedData[City],G$5)</f>
        <v>36363.47</v>
      </c>
      <c r="H7" s="24" t="n">
        <f aca="false">SUMIFS(CleanedData[Total Sales],CleanedData[ProductCategory],$A7,CleanedData[City],H$5)</f>
        <v>43910.56</v>
      </c>
      <c r="I7" s="24" t="n">
        <f aca="false">SUMIFS(CleanedData[Total Sales],CleanedData[ProductCategory],$A7,CleanedData[City],I$5)</f>
        <v>67964.51</v>
      </c>
      <c r="J7" s="24" t="n">
        <f aca="false">SUM(B7:I7)</f>
        <v>411136.2</v>
      </c>
    </row>
    <row r="8" customFormat="false" ht="15" hidden="false" customHeight="false" outlineLevel="0" collapsed="false">
      <c r="A8" s="23" t="s">
        <v>83</v>
      </c>
      <c r="B8" s="24" t="n">
        <f aca="false">SUMIFS(CleanedData[Total Sales],CleanedData[ProductCategory],$A8,CleanedData[City],B$5)</f>
        <v>19936.09</v>
      </c>
      <c r="C8" s="24" t="n">
        <f aca="false">SUMIFS(CleanedData[Total Sales],CleanedData[ProductCategory],$A8,CleanedData[City],C$5)</f>
        <v>37182.36</v>
      </c>
      <c r="D8" s="24" t="n">
        <f aca="false">SUMIFS(CleanedData[Total Sales],CleanedData[ProductCategory],$A8,CleanedData[City],D$5)</f>
        <v>44039.73</v>
      </c>
      <c r="E8" s="24" t="n">
        <f aca="false">SUMIFS(CleanedData[Total Sales],CleanedData[ProductCategory],$A8,CleanedData[City],E$5)</f>
        <v>35780.59</v>
      </c>
      <c r="F8" s="24" t="n">
        <f aca="false">SUMIFS(CleanedData[Total Sales],CleanedData[ProductCategory],$A8,CleanedData[City],F$5)</f>
        <v>40471.98</v>
      </c>
      <c r="G8" s="24" t="n">
        <f aca="false">SUMIFS(CleanedData[Total Sales],CleanedData[ProductCategory],$A8,CleanedData[City],G$5)</f>
        <v>40988</v>
      </c>
      <c r="H8" s="24" t="n">
        <f aca="false">SUMIFS(CleanedData[Total Sales],CleanedData[ProductCategory],$A8,CleanedData[City],H$5)</f>
        <v>25455.84</v>
      </c>
      <c r="I8" s="24" t="n">
        <f aca="false">SUMIFS(CleanedData[Total Sales],CleanedData[ProductCategory],$A8,CleanedData[City],I$5)</f>
        <v>23640.58</v>
      </c>
      <c r="J8" s="24" t="n">
        <f aca="false">SUM(B8:I8)</f>
        <v>267495.17</v>
      </c>
    </row>
    <row r="9" customFormat="false" ht="15" hidden="false" customHeight="false" outlineLevel="0" collapsed="false">
      <c r="A9" s="23" t="s">
        <v>102</v>
      </c>
      <c r="B9" s="24" t="n">
        <f aca="false">SUMIFS(CleanedData[Total Sales],CleanedData[ProductCategory],$A9,CleanedData[City],B$5)</f>
        <v>32977.9</v>
      </c>
      <c r="C9" s="24" t="n">
        <f aca="false">SUMIFS(CleanedData[Total Sales],CleanedData[ProductCategory],$A9,CleanedData[City],C$5)</f>
        <v>11252.18</v>
      </c>
      <c r="D9" s="24" t="n">
        <f aca="false">SUMIFS(CleanedData[Total Sales],CleanedData[ProductCategory],$A9,CleanedData[City],D$5)</f>
        <v>66114.93</v>
      </c>
      <c r="E9" s="24" t="n">
        <f aca="false">SUMIFS(CleanedData[Total Sales],CleanedData[ProductCategory],$A9,CleanedData[City],E$5)</f>
        <v>52875.21</v>
      </c>
      <c r="F9" s="24" t="n">
        <f aca="false">SUMIFS(CleanedData[Total Sales],CleanedData[ProductCategory],$A9,CleanedData[City],F$5)</f>
        <v>98173.98</v>
      </c>
      <c r="G9" s="24" t="n">
        <f aca="false">SUMIFS(CleanedData[Total Sales],CleanedData[ProductCategory],$A9,CleanedData[City],G$5)</f>
        <v>31890.52</v>
      </c>
      <c r="H9" s="24" t="n">
        <f aca="false">SUMIFS(CleanedData[Total Sales],CleanedData[ProductCategory],$A9,CleanedData[City],H$5)</f>
        <v>7093.46</v>
      </c>
      <c r="I9" s="24" t="n">
        <f aca="false">SUMIFS(CleanedData[Total Sales],CleanedData[ProductCategory],$A9,CleanedData[City],I$5)</f>
        <v>35261.04</v>
      </c>
      <c r="J9" s="24" t="n">
        <f aca="false">SUM(B9:I9)</f>
        <v>335639.22</v>
      </c>
    </row>
    <row r="10" customFormat="false" ht="15" hidden="false" customHeight="false" outlineLevel="0" collapsed="false">
      <c r="A10" s="23" t="s">
        <v>60</v>
      </c>
      <c r="B10" s="24" t="n">
        <f aca="false">SUMIFS(CleanedData[Total Sales],CleanedData[ProductCategory],$A10,CleanedData[City],B$5)</f>
        <v>48384.42</v>
      </c>
      <c r="C10" s="24" t="n">
        <f aca="false">SUMIFS(CleanedData[Total Sales],CleanedData[ProductCategory],$A10,CleanedData[City],C$5)</f>
        <v>14624.15</v>
      </c>
      <c r="D10" s="24" t="n">
        <f aca="false">SUMIFS(CleanedData[Total Sales],CleanedData[ProductCategory],$A10,CleanedData[City],D$5)</f>
        <v>30202.8</v>
      </c>
      <c r="E10" s="24" t="n">
        <f aca="false">SUMIFS(CleanedData[Total Sales],CleanedData[ProductCategory],$A10,CleanedData[City],E$5)</f>
        <v>111524.08</v>
      </c>
      <c r="F10" s="24" t="n">
        <f aca="false">SUMIFS(CleanedData[Total Sales],CleanedData[ProductCategory],$A10,CleanedData[City],F$5)</f>
        <v>75252.97</v>
      </c>
      <c r="G10" s="24" t="n">
        <f aca="false">SUMIFS(CleanedData[Total Sales],CleanedData[ProductCategory],$A10,CleanedData[City],G$5)</f>
        <v>33618.41</v>
      </c>
      <c r="H10" s="24" t="n">
        <f aca="false">SUMIFS(CleanedData[Total Sales],CleanedData[ProductCategory],$A10,CleanedData[City],H$5)</f>
        <v>22893.8</v>
      </c>
      <c r="I10" s="24" t="n">
        <f aca="false">SUMIFS(CleanedData[Total Sales],CleanedData[ProductCategory],$A10,CleanedData[City],I$5)</f>
        <v>38763.06</v>
      </c>
      <c r="J10" s="24" t="n">
        <f aca="false">SUM(B10:I10)</f>
        <v>375263.69</v>
      </c>
    </row>
    <row r="11" customFormat="false" ht="15" hidden="false" customHeight="false" outlineLevel="0" collapsed="false">
      <c r="A11" s="23" t="s">
        <v>66</v>
      </c>
      <c r="B11" s="24" t="n">
        <f aca="false">SUMIFS(CleanedData[Total Sales],CleanedData[ProductCategory],$A11,CleanedData[City],B$5)</f>
        <v>31194.58</v>
      </c>
      <c r="C11" s="24" t="n">
        <f aca="false">SUMIFS(CleanedData[Total Sales],CleanedData[ProductCategory],$A11,CleanedData[City],C$5)</f>
        <v>27063.01</v>
      </c>
      <c r="D11" s="24" t="n">
        <f aca="false">SUMIFS(CleanedData[Total Sales],CleanedData[ProductCategory],$A11,CleanedData[City],D$5)</f>
        <v>57285.62</v>
      </c>
      <c r="E11" s="24" t="n">
        <f aca="false">SUMIFS(CleanedData[Total Sales],CleanedData[ProductCategory],$A11,CleanedData[City],E$5)</f>
        <v>35244.31</v>
      </c>
      <c r="F11" s="24" t="n">
        <f aca="false">SUMIFS(CleanedData[Total Sales],CleanedData[ProductCategory],$A11,CleanedData[City],F$5)</f>
        <v>86852.13</v>
      </c>
      <c r="G11" s="24" t="n">
        <f aca="false">SUMIFS(CleanedData[Total Sales],CleanedData[ProductCategory],$A11,CleanedData[City],G$5)</f>
        <v>33109.88</v>
      </c>
      <c r="H11" s="24" t="n">
        <f aca="false">SUMIFS(CleanedData[Total Sales],CleanedData[ProductCategory],$A11,CleanedData[City],H$5)</f>
        <v>47803.52</v>
      </c>
      <c r="I11" s="24" t="n">
        <f aca="false">SUMIFS(CleanedData[Total Sales],CleanedData[ProductCategory],$A11,CleanedData[City],I$5)</f>
        <v>39044.64</v>
      </c>
      <c r="J11" s="24" t="n">
        <f aca="false">SUM(B11:I11)</f>
        <v>357597.69</v>
      </c>
    </row>
    <row r="12" customFormat="false" ht="15" hidden="false" customHeight="false" outlineLevel="0" collapsed="false">
      <c r="A12" s="25" t="s">
        <v>499</v>
      </c>
      <c r="B12" s="24" t="n">
        <f aca="false">SUM(B6:B11)</f>
        <v>197773.77</v>
      </c>
      <c r="C12" s="24" t="n">
        <f aca="false">SUM(C6:C11)</f>
        <v>176163.89</v>
      </c>
      <c r="D12" s="24" t="n">
        <f aca="false">SUM(D6:D11)</f>
        <v>290853.85</v>
      </c>
      <c r="E12" s="24" t="n">
        <f aca="false">SUM(E6:E11)</f>
        <v>321210.28</v>
      </c>
      <c r="F12" s="24" t="n">
        <f aca="false">SUM(F6:F11)</f>
        <v>385784.51</v>
      </c>
      <c r="G12" s="24" t="n">
        <f aca="false">SUM(G6:G11)</f>
        <v>202045.1</v>
      </c>
      <c r="H12" s="24" t="n">
        <f aca="false">SUM(H6:H11)</f>
        <v>212376.19</v>
      </c>
      <c r="I12" s="24" t="n">
        <f aca="false">SUM(I6:I11)</f>
        <v>227808.69</v>
      </c>
      <c r="J12" s="24" t="n">
        <f aca="false">SUM(J6:J11)</f>
        <v>2014016.28</v>
      </c>
    </row>
    <row r="15" customFormat="false" ht="15" hidden="false" customHeight="false" outlineLevel="0" collapsed="false">
      <c r="A15" s="21" t="s">
        <v>500</v>
      </c>
    </row>
    <row r="16" customFormat="false" ht="15" hidden="false" customHeight="false" outlineLevel="0" collapsed="false">
      <c r="A16" s="22" t="s">
        <v>501</v>
      </c>
      <c r="B16" s="22" t="s">
        <v>502</v>
      </c>
    </row>
    <row r="17" customFormat="false" ht="15" hidden="false" customHeight="false" outlineLevel="0" collapsed="false">
      <c r="A17" s="26" t="n">
        <v>45292</v>
      </c>
      <c r="B17" s="24" t="n">
        <f aca="false">SUMPRODUCT((CleanedData[OrderDate]&gt;=A17)*(CleanedData[OrderDate]&lt;EDATE(A17,1))*CleanedData[Total Sales])</f>
        <v>123128.78</v>
      </c>
    </row>
    <row r="18" customFormat="false" ht="15" hidden="false" customHeight="false" outlineLevel="0" collapsed="false">
      <c r="A18" s="26" t="n">
        <v>45323</v>
      </c>
      <c r="B18" s="24" t="n">
        <f aca="false">SUMPRODUCT((CleanedData[OrderDate]&gt;=A18)*(CleanedData[OrderDate]&lt;EDATE(A18,1))*CleanedData[Total Sales])</f>
        <v>215230.65</v>
      </c>
    </row>
    <row r="19" customFormat="false" ht="15" hidden="false" customHeight="false" outlineLevel="0" collapsed="false">
      <c r="A19" s="26" t="n">
        <v>45352</v>
      </c>
      <c r="B19" s="24" t="n">
        <f aca="false">SUMPRODUCT((CleanedData[OrderDate]&gt;=A19)*(CleanedData[OrderDate]&lt;EDATE(A19,1))*CleanedData[Total Sales])</f>
        <v>77815.21</v>
      </c>
    </row>
    <row r="20" customFormat="false" ht="15" hidden="false" customHeight="false" outlineLevel="0" collapsed="false">
      <c r="A20" s="26" t="n">
        <v>45383</v>
      </c>
      <c r="B20" s="24" t="n">
        <f aca="false">SUMPRODUCT((CleanedData[OrderDate]&gt;=A20)*(CleanedData[OrderDate]&lt;EDATE(A20,1))*CleanedData[Total Sales])</f>
        <v>105851.89</v>
      </c>
    </row>
    <row r="21" customFormat="false" ht="15" hidden="false" customHeight="false" outlineLevel="0" collapsed="false">
      <c r="A21" s="26" t="n">
        <v>45413</v>
      </c>
      <c r="B21" s="24" t="n">
        <f aca="false">SUMPRODUCT((CleanedData[OrderDate]&gt;=A21)*(CleanedData[OrderDate]&lt;EDATE(A21,1))*CleanedData[Total Sales])</f>
        <v>164862.26</v>
      </c>
    </row>
    <row r="22" customFormat="false" ht="15" hidden="false" customHeight="false" outlineLevel="0" collapsed="false">
      <c r="A22" s="26" t="n">
        <v>45444</v>
      </c>
      <c r="B22" s="24" t="n">
        <f aca="false">SUMPRODUCT((CleanedData[OrderDate]&gt;=A22)*(CleanedData[OrderDate]&lt;EDATE(A22,1))*CleanedData[Total Sales])</f>
        <v>136949.44</v>
      </c>
    </row>
    <row r="23" customFormat="false" ht="15" hidden="false" customHeight="false" outlineLevel="0" collapsed="false">
      <c r="A23" s="26" t="n">
        <v>45474</v>
      </c>
      <c r="B23" s="24" t="n">
        <f aca="false">SUMPRODUCT((CleanedData[OrderDate]&gt;=A23)*(CleanedData[OrderDate]&lt;EDATE(A23,1))*CleanedData[Total Sales])</f>
        <v>152288.97</v>
      </c>
    </row>
    <row r="24" customFormat="false" ht="15" hidden="false" customHeight="false" outlineLevel="0" collapsed="false">
      <c r="A24" s="26" t="n">
        <v>45505</v>
      </c>
      <c r="B24" s="24" t="n">
        <f aca="false">SUMPRODUCT((CleanedData[OrderDate]&gt;=A24)*(CleanedData[OrderDate]&lt;EDATE(A24,1))*CleanedData[Total Sales])</f>
        <v>137826.77</v>
      </c>
    </row>
    <row r="25" customFormat="false" ht="15" hidden="false" customHeight="false" outlineLevel="0" collapsed="false">
      <c r="A25" s="26" t="n">
        <v>45536</v>
      </c>
      <c r="B25" s="24" t="n">
        <f aca="false">SUMPRODUCT((CleanedData[OrderDate]&gt;=A25)*(CleanedData[OrderDate]&lt;EDATE(A25,1))*CleanedData[Total Sales])</f>
        <v>194433.02</v>
      </c>
    </row>
    <row r="26" customFormat="false" ht="15" hidden="false" customHeight="false" outlineLevel="0" collapsed="false">
      <c r="A26" s="26" t="n">
        <v>45566</v>
      </c>
      <c r="B26" s="24" t="n">
        <f aca="false">SUMPRODUCT((CleanedData[OrderDate]&gt;=A26)*(CleanedData[OrderDate]&lt;EDATE(A26,1))*CleanedData[Total Sales])</f>
        <v>274748.96</v>
      </c>
    </row>
    <row r="27" customFormat="false" ht="15" hidden="false" customHeight="false" outlineLevel="0" collapsed="false">
      <c r="A27" s="26" t="n">
        <v>45597</v>
      </c>
      <c r="B27" s="24" t="n">
        <f aca="false">SUMPRODUCT((CleanedData[OrderDate]&gt;=A27)*(CleanedData[OrderDate]&lt;EDATE(A27,1))*CleanedData[Total Sales])</f>
        <v>206316.51</v>
      </c>
    </row>
    <row r="28" customFormat="false" ht="15" hidden="false" customHeight="false" outlineLevel="0" collapsed="false">
      <c r="A28" s="26" t="n">
        <v>45627</v>
      </c>
      <c r="B28" s="24" t="n">
        <f aca="false">SUMPRODUCT((CleanedData[OrderDate]&gt;=A28)*(CleanedData[OrderDate]&lt;EDATE(A28,1))*CleanedData[Total Sales])</f>
        <v>288509.66</v>
      </c>
    </row>
    <row r="31" customFormat="false" ht="15" hidden="false" customHeight="false" outlineLevel="0" collapsed="false">
      <c r="A31" s="21" t="s">
        <v>503</v>
      </c>
    </row>
    <row r="32" customFormat="false" ht="15" hidden="false" customHeight="false" outlineLevel="0" collapsed="false">
      <c r="A32" s="22" t="s">
        <v>504</v>
      </c>
      <c r="B32" s="22" t="s">
        <v>505</v>
      </c>
      <c r="C32" s="22" t="s">
        <v>502</v>
      </c>
    </row>
    <row r="33" customFormat="false" ht="15" hidden="false" customHeight="false" outlineLevel="0" collapsed="false">
      <c r="A33" s="23" t="s">
        <v>46</v>
      </c>
      <c r="B33" s="24" t="n">
        <f aca="false">COUNTIFS(CleanedData[PaymentMethod],$A33)</f>
        <v>65</v>
      </c>
      <c r="C33" s="24" t="n">
        <f aca="false">SUMIFS(CleanedData[Total Sales],CleanedData[PaymentMethod],$A33)</f>
        <v>563520.71</v>
      </c>
    </row>
    <row r="34" customFormat="false" ht="15" hidden="false" customHeight="false" outlineLevel="0" collapsed="false">
      <c r="A34" s="23" t="s">
        <v>52</v>
      </c>
      <c r="B34" s="24" t="n">
        <f aca="false">COUNTIFS(CleanedData[PaymentMethod],$A34)</f>
        <v>67</v>
      </c>
      <c r="C34" s="24" t="n">
        <f aca="false">SUMIFS(CleanedData[Total Sales],CleanedData[PaymentMethod],$A34)</f>
        <v>556859.54</v>
      </c>
    </row>
    <row r="35" customFormat="false" ht="15" hidden="false" customHeight="false" outlineLevel="0" collapsed="false">
      <c r="A35" s="23" t="s">
        <v>39</v>
      </c>
      <c r="B35" s="24" t="n">
        <f aca="false">COUNTIFS(CleanedData[PaymentMethod],$A35)</f>
        <v>62</v>
      </c>
      <c r="C35" s="24" t="n">
        <f aca="false">SUMIFS(CleanedData[Total Sales],CleanedData[PaymentMethod],$A35)</f>
        <v>432852.63</v>
      </c>
    </row>
    <row r="36" customFormat="false" ht="15" hidden="false" customHeight="false" outlineLevel="0" collapsed="false">
      <c r="A36" s="23" t="s">
        <v>68</v>
      </c>
      <c r="B36" s="24" t="n">
        <f aca="false">COUNTIFS(CleanedData[PaymentMethod],$A36)</f>
        <v>64</v>
      </c>
      <c r="C36" s="24" t="n">
        <f aca="false">SUMIFS(CleanedData[Total Sales],CleanedData[PaymentMethod],$A36)</f>
        <v>477580.8</v>
      </c>
    </row>
    <row r="39" customFormat="false" ht="15" hidden="false" customHeight="false" outlineLevel="0" collapsed="false">
      <c r="A39" s="21" t="s">
        <v>506</v>
      </c>
    </row>
    <row r="40" customFormat="false" ht="15" hidden="false" customHeight="false" outlineLevel="0" collapsed="false">
      <c r="A40" s="22" t="s">
        <v>507</v>
      </c>
      <c r="B40" s="22" t="s">
        <v>502</v>
      </c>
    </row>
    <row r="41" customFormat="false" ht="15" hidden="false" customHeight="false" outlineLevel="0" collapsed="false">
      <c r="A41" s="23" t="s">
        <v>95</v>
      </c>
      <c r="B41" s="24" t="n">
        <f aca="false">SUMIFS(CleanedData[Total Sales],CleanedData[ProductName],$A41)</f>
        <v>149725.1</v>
      </c>
    </row>
    <row r="42" customFormat="false" ht="15" hidden="false" customHeight="false" outlineLevel="0" collapsed="false">
      <c r="A42" s="23" t="s">
        <v>93</v>
      </c>
      <c r="B42" s="24" t="n">
        <f aca="false">SUMIFS(CleanedData[Total Sales],CleanedData[ProductName],$A42)</f>
        <v>120565.09</v>
      </c>
    </row>
    <row r="43" customFormat="false" ht="15" hidden="false" customHeight="false" outlineLevel="0" collapsed="false">
      <c r="A43" s="23" t="s">
        <v>55</v>
      </c>
      <c r="B43" s="24" t="n">
        <f aca="false">SUMIFS(CleanedData[Total Sales],CleanedData[ProductName],$A43)</f>
        <v>116491.56</v>
      </c>
    </row>
    <row r="44" customFormat="false" ht="15" hidden="false" customHeight="false" outlineLevel="0" collapsed="false">
      <c r="A44" s="23" t="s">
        <v>99</v>
      </c>
      <c r="B44" s="24" t="n">
        <f aca="false">SUMIFS(CleanedData[Total Sales],CleanedData[ProductName],$A44)</f>
        <v>109532.41</v>
      </c>
    </row>
    <row r="45" customFormat="false" ht="15" hidden="false" customHeight="false" outlineLevel="0" collapsed="false">
      <c r="A45" s="23" t="s">
        <v>84</v>
      </c>
      <c r="B45" s="24" t="n">
        <f aca="false">SUMIFS(CleanedData[Total Sales],CleanedData[ProductName],$A45)</f>
        <v>100783.57</v>
      </c>
    </row>
    <row r="46" customFormat="false" ht="15" hidden="false" customHeight="false" outlineLevel="0" collapsed="false">
      <c r="A46" s="23" t="s">
        <v>110</v>
      </c>
      <c r="B46" s="24" t="n">
        <f aca="false">SUMIFS(CleanedData[Total Sales],CleanedData[ProductName],$A46)</f>
        <v>96620.88</v>
      </c>
    </row>
    <row r="47" customFormat="false" ht="15" hidden="false" customHeight="false" outlineLevel="0" collapsed="false">
      <c r="A47" s="23" t="s">
        <v>144</v>
      </c>
      <c r="B47" s="24" t="n">
        <f aca="false">SUMIFS(CleanedData[Total Sales],CleanedData[ProductName],$A47)</f>
        <v>93542.66</v>
      </c>
    </row>
    <row r="48" customFormat="false" ht="15" hidden="false" customHeight="false" outlineLevel="0" collapsed="false">
      <c r="A48" s="23" t="s">
        <v>108</v>
      </c>
      <c r="B48" s="24" t="n">
        <f aca="false">SUMIFS(CleanedData[Total Sales],CleanedData[ProductName],$A48)</f>
        <v>92191.49</v>
      </c>
    </row>
    <row r="49" customFormat="false" ht="15" hidden="false" customHeight="false" outlineLevel="0" collapsed="false">
      <c r="A49" s="23" t="s">
        <v>38</v>
      </c>
      <c r="B49" s="24" t="n">
        <f aca="false">SUMIFS(CleanedData[Total Sales],CleanedData[ProductName],$A49)</f>
        <v>91223.51</v>
      </c>
    </row>
    <row r="50" customFormat="false" ht="15" hidden="false" customHeight="false" outlineLevel="0" collapsed="false">
      <c r="A50" s="23" t="s">
        <v>159</v>
      </c>
      <c r="B50" s="24" t="n">
        <f aca="false">SUMIFS(CleanedData[Total Sales],CleanedData[ProductName],$A50)</f>
        <v>90600.46</v>
      </c>
    </row>
    <row r="52" customFormat="false" ht="15" hidden="false" customHeight="false" outlineLevel="0" collapsed="false">
      <c r="A52" s="27" t="s">
        <v>508</v>
      </c>
    </row>
    <row r="53" customFormat="false" ht="15" hidden="false" customHeight="false" outlineLevel="0" collapsed="false">
      <c r="A53" s="22" t="s">
        <v>507</v>
      </c>
      <c r="B53" s="22" t="s">
        <v>502</v>
      </c>
    </row>
    <row r="54" customFormat="false" ht="15" hidden="false" customHeight="false" outlineLevel="0" collapsed="false">
      <c r="A54" s="23" t="str">
        <f aca="false">A50</f>
        <v>Jeans</v>
      </c>
      <c r="B54" s="24" t="n">
        <f aca="false">B50</f>
        <v>90600.46</v>
      </c>
    </row>
    <row r="55" customFormat="false" ht="15" hidden="false" customHeight="false" outlineLevel="0" collapsed="false">
      <c r="A55" s="23" t="str">
        <f aca="false">A49</f>
        <v>Dress</v>
      </c>
      <c r="B55" s="24" t="n">
        <f aca="false">B49</f>
        <v>91223.51</v>
      </c>
    </row>
    <row r="56" customFormat="false" ht="15" hidden="false" customHeight="false" outlineLevel="0" collapsed="false">
      <c r="A56" s="23" t="str">
        <f aca="false">A48</f>
        <v>T-Shirt</v>
      </c>
      <c r="B56" s="24" t="n">
        <f aca="false">B48</f>
        <v>92191.49</v>
      </c>
    </row>
    <row r="57" customFormat="false" ht="15" hidden="false" customHeight="false" outlineLevel="0" collapsed="false">
      <c r="A57" s="23" t="str">
        <f aca="false">A47</f>
        <v>Sofa</v>
      </c>
      <c r="B57" s="24" t="n">
        <f aca="false">B47</f>
        <v>93542.66</v>
      </c>
    </row>
    <row r="58" customFormat="false" ht="15" hidden="false" customHeight="false" outlineLevel="0" collapsed="false">
      <c r="A58" s="23" t="str">
        <f aca="false">A46</f>
        <v>Bookshelf</v>
      </c>
      <c r="B58" s="24" t="n">
        <f aca="false">B46</f>
        <v>96620.88</v>
      </c>
    </row>
    <row r="59" customFormat="false" ht="15" hidden="false" customHeight="false" outlineLevel="0" collapsed="false">
      <c r="A59" s="23" t="str">
        <f aca="false">A45</f>
        <v>Tablet</v>
      </c>
      <c r="B59" s="24" t="n">
        <f aca="false">B45</f>
        <v>100783.57</v>
      </c>
    </row>
    <row r="60" customFormat="false" ht="15" hidden="false" customHeight="false" outlineLevel="0" collapsed="false">
      <c r="A60" s="23" t="str">
        <f aca="false">A44</f>
        <v>Textbook</v>
      </c>
      <c r="B60" s="24" t="n">
        <f aca="false">B44</f>
        <v>109532.41</v>
      </c>
    </row>
    <row r="61" customFormat="false" ht="15" hidden="false" customHeight="false" outlineLevel="0" collapsed="false">
      <c r="A61" s="23" t="str">
        <f aca="false">A43</f>
        <v>Puzzle 1000pc</v>
      </c>
      <c r="B61" s="24" t="n">
        <f aca="false">B43</f>
        <v>116491.56</v>
      </c>
    </row>
    <row r="62" customFormat="false" ht="15" hidden="false" customHeight="false" outlineLevel="0" collapsed="false">
      <c r="A62" s="23" t="str">
        <f aca="false">A42</f>
        <v>Jacket</v>
      </c>
      <c r="B62" s="24" t="n">
        <f aca="false">B42</f>
        <v>120565.09</v>
      </c>
    </row>
    <row r="63" customFormat="false" ht="15" hidden="false" customHeight="false" outlineLevel="0" collapsed="false">
      <c r="A63" s="23" t="str">
        <f aca="false">A41</f>
        <v>Coffee Jar</v>
      </c>
      <c r="B63" s="24" t="n">
        <f aca="false">B41</f>
        <v>149725.1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2026-09-05T19:58:12Z</dcterms:created>
  <dc:creator>openpyxl</dc:creator>
  <dc:description/>
  <dc:language>en-US</dc:language>
  <cp:lastModifiedBy/>
  <dcterms:modified xsi:type="dcterms:W3CDTF">2026-09-05T19:58:24Z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